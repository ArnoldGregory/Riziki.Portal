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904"/>
  </bookViews>
  <sheets>
    <sheet name="March 2022" sheetId="8" r:id="rId1"/>
    <sheet name="Feb 2022" sheetId="7" r:id="rId2"/>
    <sheet name="Jan 2022" sheetId="6" r:id="rId3"/>
    <sheet name="Dec 2021" sheetId="5" r:id="rId4"/>
    <sheet name="Nov 2021" sheetId="1" r:id="rId5"/>
    <sheet name="Sheet2" sheetId="2" r:id="rId6"/>
  </sheets>
  <definedNames>
    <definedName name="_xlnm.Print_Area" localSheetId="3">'Dec 2021'!$A$1:$J$80</definedName>
    <definedName name="_xlnm.Print_Area" localSheetId="1">'Feb 2022'!$A$1:$J$80</definedName>
    <definedName name="_xlnm.Print_Area" localSheetId="2">'Jan 2022'!$A$1:$J$80</definedName>
    <definedName name="_xlnm.Print_Area" localSheetId="0">'March 2022'!$A$1:$J$80</definedName>
    <definedName name="_xlnm.Print_Area" localSheetId="4">'Nov 2021'!$A$1:$J$80</definedName>
    <definedName name="_xlnm.Print_Area" localSheetId="5">Sheet2!$A$1:$AK$10</definedName>
  </definedNames>
  <calcPr calcId="144525"/>
</workbook>
</file>

<file path=xl/sharedStrings.xml><?xml version="1.0" encoding="utf-8"?>
<sst xmlns="http://schemas.openxmlformats.org/spreadsheetml/2006/main" count="361" uniqueCount="83">
  <si>
    <t>Smartcode Technologies Limited</t>
  </si>
  <si>
    <t>PAYSLIP</t>
  </si>
  <si>
    <t>The Life Ministry House, Rose Avenue</t>
  </si>
  <si>
    <t>P.O Box 286 - 00517 Nairobi</t>
  </si>
  <si>
    <t>Nairobi, Kenya.</t>
  </si>
  <si>
    <t>EMPLOYEE</t>
  </si>
  <si>
    <t>PAY DATE</t>
  </si>
  <si>
    <t>PAY TYPE</t>
  </si>
  <si>
    <t>PERIOD</t>
  </si>
  <si>
    <t>Gideon Mwangi Kabaru</t>
  </si>
  <si>
    <t>Monthly</t>
  </si>
  <si>
    <t>P.O Box 286-00517,</t>
  </si>
  <si>
    <t>[42]</t>
  </si>
  <si>
    <t>PAYROLL #</t>
  </si>
  <si>
    <t>ID NUMBER</t>
  </si>
  <si>
    <t>TAX CODE</t>
  </si>
  <si>
    <t>Nairobi Kenya</t>
  </si>
  <si>
    <t>TED0003</t>
  </si>
  <si>
    <t>24676384</t>
  </si>
  <si>
    <t>A004520490R</t>
  </si>
  <si>
    <t>Phone: +254 725 800 277</t>
  </si>
  <si>
    <t>Email: gideon@smartcode.co.ke</t>
  </si>
  <si>
    <t>Payment Method:</t>
  </si>
  <si>
    <t>EFT</t>
  </si>
  <si>
    <t>EARNINGS</t>
  </si>
  <si>
    <t>HOURS</t>
  </si>
  <si>
    <t>RATE</t>
  </si>
  <si>
    <t>CURRENT</t>
  </si>
  <si>
    <t>YTD</t>
  </si>
  <si>
    <t>Basic Pay</t>
  </si>
  <si>
    <t>Overtime Pay</t>
  </si>
  <si>
    <t>Holiday Pay</t>
  </si>
  <si>
    <t>Vacation Pay</t>
  </si>
  <si>
    <t>Other Hourly Pay</t>
  </si>
  <si>
    <t>Commission and Bonus</t>
  </si>
  <si>
    <t>Sick Pay</t>
  </si>
  <si>
    <t>Expenses</t>
  </si>
  <si>
    <t/>
  </si>
  <si>
    <t>GROSS PAY</t>
  </si>
  <si>
    <t>DEDUCTIONS</t>
  </si>
  <si>
    <t>PAYE Tax</t>
  </si>
  <si>
    <t>N.H.I.F</t>
  </si>
  <si>
    <t>HELB</t>
  </si>
  <si>
    <t>Pension</t>
  </si>
  <si>
    <t>Union Fees</t>
  </si>
  <si>
    <t>TOTAL DEDUCTIONS</t>
  </si>
  <si>
    <t>NET PAY</t>
  </si>
  <si>
    <t>If you have any questions about this payslip, please contact:</t>
  </si>
  <si>
    <t>[Enock Ngeny, +254 722 608 131, enock@engkconsulting.co.ke]</t>
  </si>
  <si>
    <t>Employer Signature &amp; Official Rubber Stamp</t>
  </si>
  <si>
    <t>Employee Signature</t>
  </si>
  <si>
    <t>Other Basic Pay</t>
  </si>
  <si>
    <r>
      <rPr>
        <b/>
        <sz val="20"/>
        <color theme="4"/>
        <rFont val="Calibri"/>
        <charset val="134"/>
        <scheme val="minor"/>
      </rPr>
      <t>Payslip</t>
    </r>
    <r>
      <rPr>
        <sz val="20"/>
        <color theme="4"/>
        <rFont val="Calibri"/>
        <charset val="134"/>
        <scheme val="minor"/>
      </rPr>
      <t xml:space="preserve"> Year-to-Date Calculations</t>
    </r>
  </si>
  <si>
    <t>Employee:</t>
  </si>
  <si>
    <t>►</t>
  </si>
  <si>
    <t>◄</t>
  </si>
  <si>
    <t>© 2019 Vertex42 LLC</t>
  </si>
  <si>
    <t>PAY PERIOD</t>
  </si>
  <si>
    <t>STANDARD HOURLY PAY</t>
  </si>
  <si>
    <t>OVERTIME HOURLY PAY</t>
  </si>
  <si>
    <t>HOLIDAY HOURLY PAY</t>
  </si>
  <si>
    <t>VACATION HOURLY PAY</t>
  </si>
  <si>
    <t>OTHER HOURLY PAY</t>
  </si>
  <si>
    <t>OTHER EARNINGS</t>
  </si>
  <si>
    <t>FROM</t>
  </si>
  <si>
    <t>TO</t>
  </si>
  <si>
    <t>Standard Hours</t>
  </si>
  <si>
    <t>Standard Pay Rate</t>
  </si>
  <si>
    <t>Overtime Hours</t>
  </si>
  <si>
    <t>Overtime Pay Rate</t>
  </si>
  <si>
    <t>Holiday Hours</t>
  </si>
  <si>
    <t>Holiday Pay  Rate</t>
  </si>
  <si>
    <t>Vacation Hours</t>
  </si>
  <si>
    <t>Vacation Pay Rate</t>
  </si>
  <si>
    <t>Other Hours</t>
  </si>
  <si>
    <t>Other Pay Rate</t>
  </si>
  <si>
    <t>Other Earning: Basic Pay</t>
  </si>
  <si>
    <t xml:space="preserve">Non taxable reimbursements </t>
  </si>
  <si>
    <t>TRF Bank</t>
  </si>
  <si>
    <t>← Customize these labels</t>
  </si>
  <si>
    <t>More Templates</t>
  </si>
  <si>
    <t>← Insert new rows above this one</t>
  </si>
  <si>
    <t>Year-To-Date</t>
  </si>
</sst>
</file>

<file path=xl/styles.xml><?xml version="1.0" encoding="utf-8"?>
<styleSheet xmlns="http://schemas.openxmlformats.org/spreadsheetml/2006/main">
  <numFmts count="9">
    <numFmt numFmtId="43" formatCode="_(* #,##0.00_);_(* \(#,##0.00\);_(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(* #,##0_);_(* \(#,##0\);_(* &quot;-&quot;??_);_(@_)"/>
    <numFmt numFmtId="44" formatCode="_(&quot;$&quot;* #,##0.00_);_(&quot;$&quot;* \(#,##0.00\);_(&quot;$&quot;* &quot;-&quot;??_);_(@_)"/>
    <numFmt numFmtId="178" formatCode="&quot;$&quot;#,##0.00"/>
    <numFmt numFmtId="179" formatCode="0;\-0;;@"/>
    <numFmt numFmtId="180" formatCode="#,##0.00;\-#,##0.00;&quot;-&quot;"/>
    <numFmt numFmtId="181" formatCode="[$KES]\ #,##0.00"/>
  </numFmts>
  <fonts count="6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Arial"/>
      <charset val="134"/>
    </font>
    <font>
      <b/>
      <sz val="20"/>
      <color theme="4"/>
      <name val="Calibri"/>
      <charset val="134"/>
      <scheme val="minor"/>
    </font>
    <font>
      <sz val="1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b/>
      <sz val="9"/>
      <name val="Calibri"/>
      <charset val="134"/>
      <scheme val="minor"/>
    </font>
    <font>
      <sz val="9"/>
      <name val="Calibri"/>
      <charset val="134"/>
      <scheme val="minor"/>
    </font>
    <font>
      <sz val="10"/>
      <color theme="4"/>
      <name val="Calibri"/>
      <charset val="134"/>
      <scheme val="minor"/>
    </font>
    <font>
      <sz val="20"/>
      <color rgb="FF666666"/>
      <name val="Calibri"/>
      <charset val="134"/>
      <scheme val="minor"/>
    </font>
    <font>
      <b/>
      <sz val="18"/>
      <color rgb="FF999999"/>
      <name val="Arial Narrow"/>
      <charset val="134"/>
    </font>
    <font>
      <b/>
      <sz val="18"/>
      <color rgb="FF999999"/>
      <name val="Calibri"/>
      <charset val="134"/>
      <scheme val="minor"/>
    </font>
    <font>
      <u/>
      <sz val="11"/>
      <color rgb="FF0000FF"/>
      <name val="Arial"/>
      <charset val="134"/>
    </font>
    <font>
      <u/>
      <sz val="11"/>
      <color rgb="FF0000FF"/>
      <name val="Calibri"/>
      <charset val="134"/>
      <scheme val="minor"/>
    </font>
    <font>
      <sz val="9"/>
      <color rgb="FF999999"/>
      <name val="Arial"/>
      <charset val="134"/>
    </font>
    <font>
      <sz val="9"/>
      <color rgb="FF999999"/>
      <name val="Calibri"/>
      <charset val="134"/>
      <scheme val="minor"/>
    </font>
    <font>
      <b/>
      <sz val="8"/>
      <name val="Calibri"/>
      <charset val="134"/>
      <scheme val="minor"/>
    </font>
    <font>
      <sz val="11"/>
      <color rgb="FF3C78D8"/>
      <name val="Arial"/>
      <charset val="134"/>
    </font>
    <font>
      <sz val="11"/>
      <color rgb="FF3C78D8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rgb="FF3C78D8"/>
      <name val="Calibri"/>
      <charset val="134"/>
      <scheme val="minor"/>
    </font>
    <font>
      <u/>
      <sz val="11"/>
      <color rgb="FF1155CC"/>
      <name val="Calibri"/>
      <charset val="134"/>
      <scheme val="minor"/>
    </font>
    <font>
      <b/>
      <sz val="11"/>
      <color rgb="FF999999"/>
      <name val="Arial"/>
      <charset val="134"/>
    </font>
    <font>
      <u/>
      <sz val="11"/>
      <color rgb="FF999999"/>
      <name val="Arial"/>
      <charset val="134"/>
    </font>
    <font>
      <sz val="8"/>
      <name val="Arial"/>
      <charset val="134"/>
    </font>
    <font>
      <sz val="9"/>
      <name val="Arial"/>
      <charset val="134"/>
    </font>
    <font>
      <sz val="10"/>
      <color theme="1"/>
      <name val="Trebuchet MS"/>
      <charset val="134"/>
    </font>
    <font>
      <sz val="11"/>
      <color theme="1"/>
      <name val="Trebuchet MS"/>
      <charset val="134"/>
    </font>
    <font>
      <b/>
      <sz val="12"/>
      <color theme="4"/>
      <name val="Trebuchet MS"/>
      <charset val="134"/>
    </font>
    <font>
      <sz val="24"/>
      <name val="Trebuchet MS"/>
      <charset val="134"/>
    </font>
    <font>
      <b/>
      <sz val="24"/>
      <name val="Trebuchet MS"/>
      <charset val="134"/>
    </font>
    <font>
      <sz val="9"/>
      <color theme="4" tint="-0.249977111117893"/>
      <name val="Trebuchet MS"/>
      <charset val="134"/>
    </font>
    <font>
      <sz val="9"/>
      <name val="Trebuchet MS"/>
      <charset val="134"/>
    </font>
    <font>
      <sz val="10"/>
      <color rgb="FF000000"/>
      <name val="Trebuchet MS"/>
      <charset val="134"/>
    </font>
    <font>
      <b/>
      <sz val="9"/>
      <color rgb="FFFFFFFF"/>
      <name val="Trebuchet MS"/>
      <charset val="134"/>
    </font>
    <font>
      <b/>
      <sz val="10"/>
      <name val="Trebuchet MS"/>
      <charset val="134"/>
    </font>
    <font>
      <b/>
      <sz val="9"/>
      <name val="Trebuchet MS"/>
      <charset val="134"/>
    </font>
    <font>
      <sz val="1"/>
      <color rgb="FFFFFFFF"/>
      <name val="Trebuchet MS"/>
      <charset val="134"/>
    </font>
    <font>
      <sz val="11"/>
      <name val="Trebuchet MS"/>
      <charset val="134"/>
    </font>
    <font>
      <b/>
      <sz val="10"/>
      <color rgb="FFFFFFFF"/>
      <name val="Trebuchet MS"/>
      <charset val="134"/>
    </font>
    <font>
      <sz val="10"/>
      <name val="Trebuchet MS"/>
      <charset val="134"/>
    </font>
    <font>
      <b/>
      <sz val="10"/>
      <color rgb="FF000000"/>
      <name val="Trebuchet MS"/>
      <charset val="134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20"/>
      <color theme="4"/>
      <name val="Calibri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 tint="0.799981688894314"/>
        <bgColor rgb="FFD9D9D9"/>
      </patternFill>
    </fill>
    <fill>
      <patternFill patternType="solid">
        <fgColor theme="4" tint="0.599993896298105"/>
        <bgColor rgb="FFB7B7B7"/>
      </patternFill>
    </fill>
    <fill>
      <patternFill patternType="solid">
        <fgColor theme="4" tint="0.799981688894314"/>
        <bgColor rgb="FFB7B7B7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DDDDD"/>
        <bgColor rgb="FF999999"/>
      </patternFill>
    </fill>
    <fill>
      <patternFill patternType="solid">
        <fgColor rgb="FFB2B2B2"/>
        <bgColor rgb="FF666666"/>
      </patternFill>
    </fill>
    <fill>
      <patternFill patternType="solid">
        <fgColor theme="4" tint="0.599993896298105"/>
        <bgColor rgb="FFD9D9D9"/>
      </patternFill>
    </fill>
    <fill>
      <patternFill patternType="solid">
        <fgColor theme="4" tint="0.399975585192419"/>
        <bgColor rgb="FF6FA8DC"/>
      </patternFill>
    </fill>
    <fill>
      <patternFill patternType="solid">
        <fgColor theme="4" tint="0.799981688894314"/>
        <bgColor rgb="FFF3F3F3"/>
      </patternFill>
    </fill>
    <fill>
      <patternFill patternType="solid">
        <fgColor theme="0" tint="-0.0499893185216834"/>
        <bgColor rgb="FFF3F3F3"/>
      </patternFill>
    </fill>
    <fill>
      <patternFill patternType="solid">
        <fgColor rgb="FFDDDDDD"/>
        <bgColor rgb="FFD9D9D9"/>
      </patternFill>
    </fill>
    <fill>
      <patternFill patternType="solid">
        <fgColor rgb="FFB2B2B2"/>
        <bgColor rgb="FFB7B7B7"/>
      </patternFill>
    </fill>
    <fill>
      <patternFill patternType="solid">
        <fgColor rgb="FFB2B2B2"/>
        <bgColor rgb="FFCCCCCC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 style="hair">
        <color theme="0" tint="-0.249946592608417"/>
      </right>
      <top style="thin">
        <color rgb="FF999999"/>
      </top>
      <bottom style="thin">
        <color rgb="FF999999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theme="0" tint="-0.249946592608417"/>
      </right>
      <top style="thin">
        <color rgb="FF999999"/>
      </top>
      <bottom style="thin">
        <color rgb="FF999999"/>
      </bottom>
      <diagonal/>
    </border>
    <border>
      <left style="thin">
        <color theme="0" tint="-0.249946592608417"/>
      </left>
      <right/>
      <top style="thin">
        <color rgb="FF999999"/>
      </top>
      <bottom style="thin">
        <color rgb="FF999999"/>
      </bottom>
      <diagonal/>
    </border>
    <border>
      <left style="hair">
        <color theme="0" tint="-0.249946592608417"/>
      </left>
      <right/>
      <top style="thin">
        <color rgb="FF999999"/>
      </top>
      <bottom style="thin">
        <color rgb="FF999999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3" fillId="26" borderId="17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0" fillId="19" borderId="14" applyNumberFormat="0" applyFont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0" fillId="0" borderId="16" applyNumberFormat="0" applyFill="0" applyAlignment="0" applyProtection="0">
      <alignment vertical="center"/>
    </xf>
    <xf numFmtId="0" fontId="58" fillId="0" borderId="1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5" fillId="16" borderId="13" applyNumberFormat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1" fillId="36" borderId="20" applyNumberFormat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62" fillId="36" borderId="13" applyNumberFormat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49" fillId="0" borderId="15" applyNumberFormat="0" applyFill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63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</cellStyleXfs>
  <cellXfs count="13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8" fillId="0" borderId="0" xfId="0" applyFont="1"/>
    <xf numFmtId="0" fontId="6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58" fontId="10" fillId="0" borderId="2" xfId="0" applyNumberFormat="1" applyFont="1" applyBorder="1" applyAlignment="1">
      <alignment horizontal="center" vertical="center" wrapText="1"/>
    </xf>
    <xf numFmtId="17" fontId="10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4" fontId="10" fillId="5" borderId="3" xfId="0" applyNumberFormat="1" applyFont="1" applyFill="1" applyBorder="1" applyAlignment="1">
      <alignment vertical="center" wrapText="1"/>
    </xf>
    <xf numFmtId="4" fontId="10" fillId="0" borderId="3" xfId="0" applyNumberFormat="1" applyFont="1" applyBorder="1" applyAlignment="1">
      <alignment vertical="center" wrapText="1"/>
    </xf>
    <xf numFmtId="17" fontId="10" fillId="0" borderId="3" xfId="0" applyNumberFormat="1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shrinkToFit="1"/>
    </xf>
    <xf numFmtId="58" fontId="10" fillId="6" borderId="2" xfId="0" applyNumberFormat="1" applyFont="1" applyFill="1" applyBorder="1" applyAlignment="1">
      <alignment horizontal="left" vertical="center"/>
    </xf>
    <xf numFmtId="58" fontId="10" fillId="0" borderId="3" xfId="0" applyNumberFormat="1" applyFont="1" applyBorder="1" applyAlignment="1">
      <alignment horizontal="center" vertical="center" shrinkToFit="1"/>
    </xf>
    <xf numFmtId="0" fontId="10" fillId="6" borderId="3" xfId="0" applyFont="1" applyFill="1" applyBorder="1" applyAlignment="1">
      <alignment horizontal="center" vertical="center" wrapText="1"/>
    </xf>
    <xf numFmtId="2" fontId="10" fillId="6" borderId="3" xfId="0" applyNumberFormat="1" applyFont="1" applyFill="1" applyBorder="1" applyAlignment="1">
      <alignment horizontal="center" vertical="center" wrapText="1"/>
    </xf>
    <xf numFmtId="4" fontId="10" fillId="6" borderId="3" xfId="0" applyNumberFormat="1" applyFont="1" applyFill="1" applyBorder="1" applyAlignment="1">
      <alignment vertical="center" wrapText="1"/>
    </xf>
    <xf numFmtId="178" fontId="9" fillId="7" borderId="4" xfId="0" applyNumberFormat="1" applyFont="1" applyFill="1" applyBorder="1" applyAlignment="1">
      <alignment horizontal="left" vertical="center"/>
    </xf>
    <xf numFmtId="178" fontId="9" fillId="7" borderId="5" xfId="0" applyNumberFormat="1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4" fontId="9" fillId="8" borderId="4" xfId="0" applyNumberFormat="1" applyFont="1" applyFill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4" fontId="4" fillId="0" borderId="0" xfId="0" applyNumberFormat="1" applyFont="1" applyAlignment="1">
      <alignment vertical="center" wrapText="1"/>
    </xf>
    <xf numFmtId="0" fontId="6" fillId="0" borderId="0" xfId="0" applyFont="1"/>
    <xf numFmtId="4" fontId="9" fillId="8" borderId="6" xfId="0" applyNumberFormat="1" applyFont="1" applyFill="1" applyBorder="1" applyAlignment="1">
      <alignment horizontal="right" vertical="center" wrapText="1"/>
    </xf>
    <xf numFmtId="0" fontId="9" fillId="9" borderId="1" xfId="0" applyFont="1" applyFill="1" applyBorder="1" applyAlignment="1">
      <alignment horizontal="center" vertical="center" wrapText="1"/>
    </xf>
    <xf numFmtId="4" fontId="9" fillId="7" borderId="6" xfId="0" applyNumberFormat="1" applyFont="1" applyFill="1" applyBorder="1" applyAlignment="1">
      <alignment horizontal="right" vertical="center" wrapText="1"/>
    </xf>
    <xf numFmtId="4" fontId="9" fillId="7" borderId="4" xfId="0" applyNumberFormat="1" applyFont="1" applyFill="1" applyBorder="1" applyAlignment="1">
      <alignment horizontal="right"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4" fontId="10" fillId="0" borderId="7" xfId="0" applyNumberFormat="1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4" fontId="22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4" fontId="10" fillId="6" borderId="7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 applyAlignment="1" applyProtection="1">
      <alignment vertical="center"/>
      <protection locked="0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 wrapText="1"/>
    </xf>
    <xf numFmtId="0" fontId="31" fillId="0" borderId="0" xfId="0" applyFont="1" applyAlignment="1">
      <alignment horizontal="right" vertical="center"/>
    </xf>
    <xf numFmtId="0" fontId="34" fillId="0" borderId="0" xfId="0" applyFont="1" applyAlignment="1" applyProtection="1">
      <alignment vertical="center"/>
      <protection locked="0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wrapText="1"/>
    </xf>
    <xf numFmtId="0" fontId="37" fillId="10" borderId="0" xfId="0" applyFont="1" applyFill="1" applyAlignment="1">
      <alignment horizontal="left" vertical="center"/>
    </xf>
    <xf numFmtId="0" fontId="37" fillId="10" borderId="8" xfId="0" applyFont="1" applyFill="1" applyBorder="1" applyAlignment="1">
      <alignment horizontal="center" vertical="center"/>
    </xf>
    <xf numFmtId="0" fontId="37" fillId="10" borderId="9" xfId="0" applyFont="1" applyFill="1" applyBorder="1" applyAlignment="1">
      <alignment horizontal="center" vertical="center"/>
    </xf>
    <xf numFmtId="0" fontId="37" fillId="10" borderId="10" xfId="0" applyFont="1" applyFill="1" applyBorder="1" applyAlignment="1">
      <alignment horizontal="center" vertical="center"/>
    </xf>
    <xf numFmtId="0" fontId="38" fillId="0" borderId="0" xfId="0" applyFont="1" applyAlignment="1" applyProtection="1">
      <alignment vertical="center"/>
      <protection locked="0"/>
    </xf>
    <xf numFmtId="58" fontId="39" fillId="11" borderId="8" xfId="0" applyNumberFormat="1" applyFont="1" applyFill="1" applyBorder="1" applyAlignment="1" applyProtection="1">
      <alignment horizontal="center" vertical="center"/>
      <protection locked="0"/>
    </xf>
    <xf numFmtId="58" fontId="39" fillId="12" borderId="10" xfId="0" applyNumberFormat="1" applyFont="1" applyFill="1" applyBorder="1" applyAlignment="1" applyProtection="1">
      <alignment horizontal="center" vertical="center"/>
      <protection locked="0"/>
    </xf>
    <xf numFmtId="17" fontId="39" fillId="12" borderId="10" xfId="0" applyNumberFormat="1" applyFont="1" applyFill="1" applyBorder="1" applyAlignment="1" applyProtection="1">
      <alignment horizontal="center" vertical="center" shrinkToFit="1"/>
      <protection locked="0"/>
    </xf>
    <xf numFmtId="0" fontId="35" fillId="0" borderId="0" xfId="0" applyFont="1" applyAlignment="1" applyProtection="1">
      <alignment vertical="center"/>
      <protection locked="0"/>
    </xf>
    <xf numFmtId="0" fontId="40" fillId="0" borderId="0" xfId="0" applyFont="1" applyAlignment="1">
      <alignment wrapText="1"/>
    </xf>
    <xf numFmtId="0" fontId="39" fillId="12" borderId="8" xfId="0" applyFont="1" applyFill="1" applyBorder="1" applyAlignment="1" applyProtection="1">
      <alignment horizontal="center" vertical="center"/>
      <protection locked="0"/>
    </xf>
    <xf numFmtId="178" fontId="39" fillId="12" borderId="9" xfId="0" applyNumberFormat="1" applyFont="1" applyFill="1" applyBorder="1" applyAlignment="1" applyProtection="1">
      <alignment horizontal="center" vertical="center"/>
      <protection locked="0"/>
    </xf>
    <xf numFmtId="178" fontId="39" fillId="12" borderId="10" xfId="0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 applyProtection="1">
      <alignment horizontal="left" vertical="center"/>
      <protection locked="0"/>
    </xf>
    <xf numFmtId="0" fontId="35" fillId="0" borderId="0" xfId="0" applyFont="1" applyAlignment="1">
      <alignment vertical="center" wrapText="1"/>
    </xf>
    <xf numFmtId="0" fontId="39" fillId="13" borderId="0" xfId="0" applyFont="1" applyFill="1" applyAlignment="1">
      <alignment vertical="center" wrapText="1"/>
    </xf>
    <xf numFmtId="0" fontId="39" fillId="13" borderId="0" xfId="0" applyFont="1" applyFill="1" applyAlignment="1">
      <alignment horizontal="left" vertical="center" wrapText="1"/>
    </xf>
    <xf numFmtId="0" fontId="39" fillId="13" borderId="0" xfId="0" applyFont="1" applyFill="1" applyAlignment="1">
      <alignment horizontal="right" vertical="center" wrapText="1"/>
    </xf>
    <xf numFmtId="0" fontId="39" fillId="14" borderId="0" xfId="0" applyFont="1" applyFill="1" applyAlignment="1">
      <alignment horizontal="right" vertical="center" wrapText="1"/>
    </xf>
    <xf numFmtId="179" fontId="35" fillId="0" borderId="4" xfId="0" applyNumberFormat="1" applyFont="1" applyBorder="1" applyAlignment="1">
      <alignment horizontal="left" vertical="center" wrapText="1"/>
    </xf>
    <xf numFmtId="2" fontId="35" fillId="0" borderId="4" xfId="0" applyNumberFormat="1" applyFont="1" applyBorder="1" applyAlignment="1">
      <alignment horizontal="center" vertical="center" wrapText="1"/>
    </xf>
    <xf numFmtId="180" fontId="35" fillId="0" borderId="4" xfId="0" applyNumberFormat="1" applyFont="1" applyBorder="1" applyAlignment="1">
      <alignment horizontal="right" vertical="center" wrapText="1"/>
    </xf>
    <xf numFmtId="180" fontId="35" fillId="12" borderId="4" xfId="0" applyNumberFormat="1" applyFont="1" applyFill="1" applyBorder="1" applyAlignment="1">
      <alignment horizontal="right" vertical="center" wrapText="1"/>
    </xf>
    <xf numFmtId="4" fontId="35" fillId="0" borderId="4" xfId="0" applyNumberFormat="1" applyFont="1" applyBorder="1" applyAlignment="1">
      <alignment horizontal="center" vertical="center" wrapText="1"/>
    </xf>
    <xf numFmtId="43" fontId="35" fillId="0" borderId="4" xfId="2" applyFont="1" applyBorder="1" applyAlignment="1">
      <alignment horizontal="center" vertical="center" wrapText="1"/>
    </xf>
    <xf numFmtId="0" fontId="35" fillId="0" borderId="4" xfId="0" applyFont="1" applyBorder="1" applyAlignment="1">
      <alignment horizontal="left" vertical="center" wrapText="1"/>
    </xf>
    <xf numFmtId="0" fontId="39" fillId="0" borderId="4" xfId="0" applyFont="1" applyBorder="1" applyAlignment="1">
      <alignment horizontal="left" vertical="center" wrapText="1"/>
    </xf>
    <xf numFmtId="0" fontId="41" fillId="7" borderId="4" xfId="0" applyFont="1" applyFill="1" applyBorder="1" applyAlignment="1">
      <alignment vertical="center" wrapText="1"/>
    </xf>
    <xf numFmtId="0" fontId="41" fillId="7" borderId="4" xfId="0" applyFont="1" applyFill="1" applyBorder="1" applyAlignment="1">
      <alignment horizontal="left" vertical="center" wrapText="1"/>
    </xf>
    <xf numFmtId="0" fontId="38" fillId="7" borderId="4" xfId="0" applyFont="1" applyFill="1" applyBorder="1" applyAlignment="1">
      <alignment horizontal="center" vertical="center" wrapText="1"/>
    </xf>
    <xf numFmtId="181" fontId="38" fillId="7" borderId="4" xfId="0" applyNumberFormat="1" applyFont="1" applyFill="1" applyBorder="1" applyAlignment="1">
      <alignment horizontal="right" vertical="center" wrapText="1"/>
    </xf>
    <xf numFmtId="181" fontId="42" fillId="8" borderId="4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horizontal="right" vertical="center" wrapText="1"/>
    </xf>
    <xf numFmtId="0" fontId="39" fillId="15" borderId="0" xfId="0" applyFont="1" applyFill="1" applyAlignment="1">
      <alignment horizontal="right" vertical="center" wrapText="1"/>
    </xf>
    <xf numFmtId="43" fontId="35" fillId="0" borderId="4" xfId="2" applyNumberFormat="1" applyFont="1" applyBorder="1" applyAlignment="1">
      <alignment horizontal="right" vertical="center" wrapText="1"/>
    </xf>
    <xf numFmtId="43" fontId="35" fillId="12" borderId="4" xfId="2" applyNumberFormat="1" applyFont="1" applyFill="1" applyBorder="1" applyAlignment="1">
      <alignment horizontal="right" vertical="center" wrapText="1"/>
    </xf>
    <xf numFmtId="177" fontId="35" fillId="0" borderId="4" xfId="2" applyNumberFormat="1" applyFont="1" applyBorder="1" applyAlignment="1">
      <alignment horizontal="right" vertical="center" wrapText="1"/>
    </xf>
    <xf numFmtId="177" fontId="35" fillId="12" borderId="4" xfId="2" applyNumberFormat="1" applyFont="1" applyFill="1" applyBorder="1" applyAlignment="1">
      <alignment horizontal="right" vertical="center" wrapText="1"/>
    </xf>
    <xf numFmtId="0" fontId="43" fillId="7" borderId="4" xfId="0" applyFont="1" applyFill="1" applyBorder="1" applyAlignment="1">
      <alignment horizontal="left" vertical="center" wrapText="1"/>
    </xf>
    <xf numFmtId="0" fontId="38" fillId="7" borderId="4" xfId="0" applyFont="1" applyFill="1" applyBorder="1" applyAlignment="1">
      <alignment horizontal="right" vertical="center" indent="1"/>
    </xf>
    <xf numFmtId="181" fontId="38" fillId="7" borderId="4" xfId="2" applyNumberFormat="1" applyFont="1" applyFill="1" applyBorder="1" applyAlignment="1">
      <alignment horizontal="right" vertical="center" wrapText="1"/>
    </xf>
    <xf numFmtId="181" fontId="42" fillId="8" borderId="4" xfId="2" applyNumberFormat="1" applyFont="1" applyFill="1" applyBorder="1" applyAlignment="1">
      <alignment horizontal="right" vertical="center" wrapText="1"/>
    </xf>
    <xf numFmtId="0" fontId="43" fillId="0" borderId="0" xfId="0" applyFont="1" applyAlignment="1">
      <alignment horizontal="left" vertical="center" wrapText="1"/>
    </xf>
    <xf numFmtId="181" fontId="43" fillId="0" borderId="0" xfId="2" applyNumberFormat="1" applyFont="1" applyAlignment="1">
      <alignment horizontal="right" vertical="center" wrapText="1"/>
    </xf>
    <xf numFmtId="0" fontId="44" fillId="13" borderId="11" xfId="0" applyFont="1" applyFill="1" applyBorder="1" applyAlignment="1">
      <alignment horizontal="right" vertical="center" wrapText="1" indent="1"/>
    </xf>
    <xf numFmtId="181" fontId="44" fillId="13" borderId="11" xfId="2" applyNumberFormat="1" applyFont="1" applyFill="1" applyBorder="1" applyAlignment="1">
      <alignment horizontal="right" vertical="center" wrapText="1"/>
    </xf>
    <xf numFmtId="181" fontId="44" fillId="14" borderId="11" xfId="2" applyNumberFormat="1" applyFont="1" applyFill="1" applyBorder="1" applyAlignment="1">
      <alignment horizontal="right" vertical="center" wrapText="1"/>
    </xf>
    <xf numFmtId="181" fontId="35" fillId="0" borderId="0" xfId="2" applyNumberFormat="1" applyFont="1" applyAlignment="1">
      <alignment horizontal="left" vertical="center" wrapText="1"/>
    </xf>
    <xf numFmtId="0" fontId="39" fillId="0" borderId="0" xfId="0" applyFont="1" applyAlignment="1" applyProtection="1">
      <alignment horizontal="center"/>
      <protection locked="0"/>
    </xf>
    <xf numFmtId="0" fontId="36" fillId="0" borderId="0" xfId="0" applyFont="1" applyAlignment="1" applyProtection="1">
      <alignment wrapText="1"/>
      <protection locked="0"/>
    </xf>
    <xf numFmtId="0" fontId="35" fillId="0" borderId="0" xfId="0" applyFont="1" applyAlignment="1" applyProtection="1">
      <alignment horizontal="center" vertical="top"/>
      <protection locked="0"/>
    </xf>
    <xf numFmtId="0" fontId="30" fillId="0" borderId="12" xfId="0" applyFont="1" applyBorder="1"/>
    <xf numFmtId="43" fontId="35" fillId="0" borderId="4" xfId="2" applyFont="1" applyBorder="1" applyAlignment="1">
      <alignment horizontal="right" vertical="center" wrapText="1"/>
    </xf>
    <xf numFmtId="43" fontId="35" fillId="12" borderId="4" xfId="2" applyFont="1" applyFill="1" applyBorder="1" applyAlignment="1">
      <alignment horizontal="right" vertical="center" wrapText="1"/>
    </xf>
    <xf numFmtId="181" fontId="30" fillId="0" borderId="0" xfId="0" applyNumberFormat="1" applyFont="1"/>
    <xf numFmtId="0" fontId="39" fillId="12" borderId="8" xfId="0" applyFont="1" applyFill="1" applyBorder="1" applyAlignment="1" applyProtection="1" quotePrefix="1">
      <alignment horizontal="center" vertical="center"/>
      <protection locked="0"/>
    </xf>
    <xf numFmtId="178" fontId="39" fillId="12" borderId="9" xfId="0" applyNumberFormat="1" applyFont="1" applyFill="1" applyBorder="1" applyAlignment="1" applyProtection="1" quotePrefix="1">
      <alignment horizontal="center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577849</xdr:colOff>
      <xdr:row>0</xdr:row>
      <xdr:rowOff>0</xdr:rowOff>
    </xdr:from>
    <xdr:to>
      <xdr:col>4</xdr:col>
      <xdr:colOff>865505</xdr:colOff>
      <xdr:row>6</xdr:row>
      <xdr:rowOff>107950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2480" y="0"/>
          <a:ext cx="1423670" cy="12052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577849</xdr:colOff>
      <xdr:row>0</xdr:row>
      <xdr:rowOff>0</xdr:rowOff>
    </xdr:from>
    <xdr:to>
      <xdr:col>5</xdr:col>
      <xdr:colOff>0</xdr:colOff>
      <xdr:row>6</xdr:row>
      <xdr:rowOff>107950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2480" y="0"/>
          <a:ext cx="1423670" cy="12052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577849</xdr:colOff>
      <xdr:row>0</xdr:row>
      <xdr:rowOff>0</xdr:rowOff>
    </xdr:from>
    <xdr:to>
      <xdr:col>5</xdr:col>
      <xdr:colOff>0</xdr:colOff>
      <xdr:row>6</xdr:row>
      <xdr:rowOff>107950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2480" y="0"/>
          <a:ext cx="1423670" cy="12052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774699</xdr:colOff>
      <xdr:row>0</xdr:row>
      <xdr:rowOff>0</xdr:rowOff>
    </xdr:from>
    <xdr:to>
      <xdr:col>5</xdr:col>
      <xdr:colOff>189798</xdr:colOff>
      <xdr:row>6</xdr:row>
      <xdr:rowOff>107950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9330" y="0"/>
          <a:ext cx="1416050" cy="1205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774699</xdr:colOff>
      <xdr:row>0</xdr:row>
      <xdr:rowOff>0</xdr:rowOff>
    </xdr:from>
    <xdr:to>
      <xdr:col>5</xdr:col>
      <xdr:colOff>189798</xdr:colOff>
      <xdr:row>6</xdr:row>
      <xdr:rowOff>107950</xdr:rowOff>
    </xdr:to>
    <xdr:pic>
      <xdr:nvPicPr>
        <xdr:cNvPr id="4" name="Picture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9330" y="0"/>
          <a:ext cx="1416050" cy="1205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E86"/>
  <sheetViews>
    <sheetView tabSelected="1" view="pageBreakPreview" zoomScaleNormal="100" topLeftCell="A20" workbookViewId="0">
      <selection activeCell="G11" sqref="G11"/>
    </sheetView>
  </sheetViews>
  <sheetFormatPr defaultColWidth="14.8148148148148" defaultRowHeight="14.4" outlineLevelCol="4"/>
  <cols>
    <col min="1" max="1" width="18.2685185185185" style="65" customWidth="1"/>
    <col min="2" max="2" width="6" style="65" customWidth="1"/>
    <col min="3" max="3" width="15.9074074074074" style="65" customWidth="1"/>
    <col min="4" max="4" width="16.5555555555556" style="65" customWidth="1"/>
    <col min="5" max="5" width="14.7222222222222" style="65" customWidth="1"/>
    <col min="6" max="16384" width="14.8148148148148" style="65"/>
  </cols>
  <sheetData>
    <row r="8" ht="17" customHeight="1" spans="1:5">
      <c r="A8" s="66" t="s">
        <v>0</v>
      </c>
      <c r="B8" s="67"/>
      <c r="C8" s="68"/>
      <c r="D8" s="69"/>
      <c r="E8" s="70" t="s">
        <v>1</v>
      </c>
    </row>
    <row r="9" ht="17" customHeight="1" spans="1:5">
      <c r="A9" s="71" t="s">
        <v>2</v>
      </c>
      <c r="B9" s="67"/>
      <c r="C9" s="68"/>
      <c r="D9" s="69"/>
      <c r="E9" s="70"/>
    </row>
    <row r="10" spans="1:5">
      <c r="A10" s="71" t="s">
        <v>3</v>
      </c>
      <c r="B10" s="72"/>
      <c r="C10" s="73"/>
      <c r="D10" s="73"/>
      <c r="E10" s="73"/>
    </row>
    <row r="11" spans="1:5">
      <c r="A11" s="71" t="s">
        <v>4</v>
      </c>
      <c r="B11" s="72"/>
      <c r="C11" s="73"/>
      <c r="D11" s="73"/>
      <c r="E11" s="73"/>
    </row>
    <row r="12" spans="1:5">
      <c r="A12" s="74"/>
      <c r="B12" s="75"/>
      <c r="C12" s="76"/>
      <c r="D12" s="76"/>
      <c r="E12" s="76"/>
    </row>
    <row r="13" spans="1:5">
      <c r="A13" s="77" t="s">
        <v>5</v>
      </c>
      <c r="B13" s="75"/>
      <c r="C13" s="78" t="s">
        <v>6</v>
      </c>
      <c r="D13" s="79" t="s">
        <v>7</v>
      </c>
      <c r="E13" s="80" t="s">
        <v>8</v>
      </c>
    </row>
    <row r="14" spans="1:5">
      <c r="A14" s="81" t="s">
        <v>9</v>
      </c>
      <c r="B14" s="75"/>
      <c r="C14" s="82">
        <f>Sheet2!A10</f>
        <v>44651</v>
      </c>
      <c r="D14" s="83" t="s">
        <v>10</v>
      </c>
      <c r="E14" s="84">
        <f>Sheet2!D10</f>
        <v>44621</v>
      </c>
    </row>
    <row r="15" spans="1:5">
      <c r="A15" s="85" t="s">
        <v>11</v>
      </c>
      <c r="B15" s="86" t="s">
        <v>12</v>
      </c>
      <c r="C15" s="78" t="s">
        <v>13</v>
      </c>
      <c r="D15" s="79" t="s">
        <v>14</v>
      </c>
      <c r="E15" s="80" t="s">
        <v>15</v>
      </c>
    </row>
    <row r="16" spans="1:5">
      <c r="A16" s="85" t="s">
        <v>16</v>
      </c>
      <c r="B16" s="75"/>
      <c r="C16" s="133" t="s">
        <v>17</v>
      </c>
      <c r="D16" s="134" t="s">
        <v>18</v>
      </c>
      <c r="E16" s="89" t="s">
        <v>19</v>
      </c>
    </row>
    <row r="17" spans="1:5">
      <c r="A17" s="85" t="s">
        <v>20</v>
      </c>
      <c r="B17" s="75"/>
      <c r="C17" s="90"/>
      <c r="D17" s="90"/>
      <c r="E17" s="90"/>
    </row>
    <row r="18" spans="1:5">
      <c r="A18" s="85" t="s">
        <v>21</v>
      </c>
      <c r="B18" s="75"/>
      <c r="C18" s="90" t="s">
        <v>22</v>
      </c>
      <c r="D18" s="91" t="s">
        <v>23</v>
      </c>
      <c r="E18" s="90"/>
    </row>
    <row r="19" spans="1:5">
      <c r="A19" s="92"/>
      <c r="B19" s="75"/>
      <c r="C19" s="90"/>
      <c r="D19" s="90"/>
      <c r="E19" s="90"/>
    </row>
    <row r="20" ht="26.4" spans="1:5">
      <c r="A20" s="93" t="s">
        <v>24</v>
      </c>
      <c r="B20" s="94" t="s">
        <v>25</v>
      </c>
      <c r="C20" s="94" t="s">
        <v>26</v>
      </c>
      <c r="D20" s="95" t="s">
        <v>27</v>
      </c>
      <c r="E20" s="96" t="s">
        <v>28</v>
      </c>
    </row>
    <row r="21" spans="1:5">
      <c r="A21" s="97" t="s">
        <v>29</v>
      </c>
      <c r="B21" s="98">
        <f>Sheet2!E9</f>
        <v>160</v>
      </c>
      <c r="C21" s="98">
        <f>Sheet2!F8</f>
        <v>937.5</v>
      </c>
      <c r="D21" s="99">
        <f>C21*B21</f>
        <v>150000</v>
      </c>
      <c r="E21" s="100">
        <f>D21</f>
        <v>150000</v>
      </c>
    </row>
    <row r="22" spans="1:5">
      <c r="A22" s="97" t="s">
        <v>30</v>
      </c>
      <c r="B22" s="101">
        <v>74.335008</v>
      </c>
      <c r="C22" s="98">
        <f>Sheet2!I8</f>
        <v>937.5</v>
      </c>
      <c r="D22" s="99">
        <f>B22*C22</f>
        <v>69689.07</v>
      </c>
      <c r="E22" s="100">
        <f>D22</f>
        <v>69689.07</v>
      </c>
    </row>
    <row r="23" spans="1:5">
      <c r="A23" s="97" t="s">
        <v>31</v>
      </c>
      <c r="B23" s="102">
        <v>0</v>
      </c>
      <c r="C23" s="102">
        <v>0</v>
      </c>
      <c r="D23" s="102">
        <v>0</v>
      </c>
      <c r="E23" s="100">
        <f>C23*D23</f>
        <v>0</v>
      </c>
    </row>
    <row r="24" spans="1:5">
      <c r="A24" s="97" t="s">
        <v>32</v>
      </c>
      <c r="B24" s="102">
        <v>0</v>
      </c>
      <c r="C24" s="102">
        <v>0</v>
      </c>
      <c r="D24" s="102">
        <v>0</v>
      </c>
      <c r="E24" s="100">
        <f t="shared" ref="E24:E29" si="0">C24*D24</f>
        <v>0</v>
      </c>
    </row>
    <row r="25" spans="1:5">
      <c r="A25" s="97" t="s">
        <v>33</v>
      </c>
      <c r="B25" s="102">
        <v>0</v>
      </c>
      <c r="C25" s="102">
        <v>0</v>
      </c>
      <c r="D25" s="102">
        <v>0</v>
      </c>
      <c r="E25" s="100">
        <f t="shared" si="0"/>
        <v>0</v>
      </c>
    </row>
    <row r="26" spans="1:5">
      <c r="A26" s="97" t="s">
        <v>29</v>
      </c>
      <c r="B26" s="102">
        <v>0</v>
      </c>
      <c r="C26" s="102">
        <v>0</v>
      </c>
      <c r="D26" s="102">
        <v>0</v>
      </c>
      <c r="E26" s="100">
        <f t="shared" si="0"/>
        <v>0</v>
      </c>
    </row>
    <row r="27" spans="1:5">
      <c r="A27" s="97" t="s">
        <v>34</v>
      </c>
      <c r="B27" s="102">
        <v>0</v>
      </c>
      <c r="C27" s="102">
        <v>0</v>
      </c>
      <c r="D27" s="102">
        <v>0</v>
      </c>
      <c r="E27" s="100">
        <f t="shared" si="0"/>
        <v>0</v>
      </c>
    </row>
    <row r="28" spans="1:5">
      <c r="A28" s="97" t="s">
        <v>35</v>
      </c>
      <c r="B28" s="102">
        <v>0</v>
      </c>
      <c r="C28" s="102">
        <v>0</v>
      </c>
      <c r="D28" s="102">
        <v>0</v>
      </c>
      <c r="E28" s="100">
        <f t="shared" si="0"/>
        <v>0</v>
      </c>
    </row>
    <row r="29" spans="1:5">
      <c r="A29" s="97" t="s">
        <v>36</v>
      </c>
      <c r="B29" s="102">
        <v>0</v>
      </c>
      <c r="C29" s="102">
        <v>0</v>
      </c>
      <c r="D29" s="102">
        <v>0</v>
      </c>
      <c r="E29" s="100">
        <f t="shared" si="0"/>
        <v>0</v>
      </c>
    </row>
    <row r="30" spans="1:5">
      <c r="A30" s="97">
        <v>0</v>
      </c>
      <c r="B30" s="103"/>
      <c r="C30" s="104"/>
      <c r="D30" s="99" t="s">
        <v>37</v>
      </c>
      <c r="E30" s="100"/>
    </row>
    <row r="31" spans="1:5">
      <c r="A31" s="97">
        <v>0</v>
      </c>
      <c r="B31" s="103"/>
      <c r="C31" s="104"/>
      <c r="D31" s="99" t="s">
        <v>37</v>
      </c>
      <c r="E31" s="100"/>
    </row>
    <row r="32" spans="1:5">
      <c r="A32" s="97">
        <v>0</v>
      </c>
      <c r="B32" s="103"/>
      <c r="C32" s="104"/>
      <c r="D32" s="99" t="s">
        <v>37</v>
      </c>
      <c r="E32" s="100"/>
    </row>
    <row r="33" spans="1:5">
      <c r="A33" s="97">
        <v>0</v>
      </c>
      <c r="B33" s="103"/>
      <c r="C33" s="104"/>
      <c r="D33" s="99" t="s">
        <v>37</v>
      </c>
      <c r="E33" s="100"/>
    </row>
    <row r="34" spans="1:5">
      <c r="A34" s="105"/>
      <c r="B34" s="106"/>
      <c r="C34" s="107" t="s">
        <v>38</v>
      </c>
      <c r="D34" s="108">
        <f t="shared" ref="D34:E34" si="1">SUM(D21:D33)</f>
        <v>219689.07</v>
      </c>
      <c r="E34" s="109">
        <f t="shared" si="1"/>
        <v>219689.07</v>
      </c>
    </row>
    <row r="35" spans="1:5">
      <c r="A35" s="92"/>
      <c r="B35" s="75"/>
      <c r="C35" s="75"/>
      <c r="D35" s="110"/>
      <c r="E35" s="110"/>
    </row>
    <row r="36" spans="1:5">
      <c r="A36" s="93" t="s">
        <v>39</v>
      </c>
      <c r="B36" s="94"/>
      <c r="C36" s="94"/>
      <c r="D36" s="95" t="s">
        <v>27</v>
      </c>
      <c r="E36" s="111" t="s">
        <v>28</v>
      </c>
    </row>
    <row r="37" spans="1:5">
      <c r="A37" s="97" t="s">
        <v>40</v>
      </c>
      <c r="B37" s="103"/>
      <c r="C37" s="103"/>
      <c r="D37" s="130">
        <v>57975.07</v>
      </c>
      <c r="E37" s="131">
        <f>D37</f>
        <v>57975.07</v>
      </c>
    </row>
    <row r="38" spans="1:5">
      <c r="A38" s="97" t="s">
        <v>41</v>
      </c>
      <c r="B38" s="103"/>
      <c r="C38" s="103"/>
      <c r="D38" s="130">
        <v>1700</v>
      </c>
      <c r="E38" s="131">
        <f t="shared" ref="E38:E41" si="2">D38</f>
        <v>1700</v>
      </c>
    </row>
    <row r="39" spans="1:5">
      <c r="A39" s="97" t="s">
        <v>42</v>
      </c>
      <c r="B39" s="103"/>
      <c r="C39" s="103"/>
      <c r="D39" s="130">
        <v>0</v>
      </c>
      <c r="E39" s="131">
        <f t="shared" si="2"/>
        <v>0</v>
      </c>
    </row>
    <row r="40" spans="1:5">
      <c r="A40" s="97" t="s">
        <v>43</v>
      </c>
      <c r="B40" s="103"/>
      <c r="C40" s="103"/>
      <c r="D40" s="130">
        <v>200</v>
      </c>
      <c r="E40" s="131">
        <f t="shared" si="2"/>
        <v>200</v>
      </c>
    </row>
    <row r="41" spans="1:5">
      <c r="A41" s="97" t="s">
        <v>44</v>
      </c>
      <c r="B41" s="103"/>
      <c r="C41" s="103"/>
      <c r="D41" s="130">
        <v>0</v>
      </c>
      <c r="E41" s="131">
        <f t="shared" si="2"/>
        <v>0</v>
      </c>
    </row>
    <row r="42" spans="1:5">
      <c r="A42" s="97">
        <v>0</v>
      </c>
      <c r="B42" s="103"/>
      <c r="C42" s="103"/>
      <c r="D42" s="130" t="s">
        <v>37</v>
      </c>
      <c r="E42" s="131">
        <v>0</v>
      </c>
    </row>
    <row r="43" spans="1:5">
      <c r="A43" s="97">
        <v>0</v>
      </c>
      <c r="B43" s="103"/>
      <c r="C43" s="103"/>
      <c r="D43" s="130" t="s">
        <v>37</v>
      </c>
      <c r="E43" s="131">
        <v>0</v>
      </c>
    </row>
    <row r="44" spans="1:5">
      <c r="A44" s="97">
        <v>0</v>
      </c>
      <c r="B44" s="103"/>
      <c r="C44" s="103"/>
      <c r="D44" s="130" t="s">
        <v>37</v>
      </c>
      <c r="E44" s="131">
        <v>0</v>
      </c>
    </row>
    <row r="45" spans="1:5">
      <c r="A45" s="97">
        <v>0</v>
      </c>
      <c r="B45" s="103"/>
      <c r="C45" s="103"/>
      <c r="D45" s="130" t="s">
        <v>37</v>
      </c>
      <c r="E45" s="131">
        <v>0</v>
      </c>
    </row>
    <row r="46" spans="1:5">
      <c r="A46" s="97">
        <v>0</v>
      </c>
      <c r="B46" s="103"/>
      <c r="C46" s="103"/>
      <c r="D46" s="130" t="s">
        <v>37</v>
      </c>
      <c r="E46" s="131">
        <v>0</v>
      </c>
    </row>
    <row r="47" spans="1:5">
      <c r="A47" s="105"/>
      <c r="B47" s="116"/>
      <c r="C47" s="117" t="s">
        <v>45</v>
      </c>
      <c r="D47" s="118">
        <f>SUM(D37:D46)</f>
        <v>59875.07</v>
      </c>
      <c r="E47" s="119">
        <f t="shared" ref="E47" si="3">SUM(E37:E46)</f>
        <v>59875.07</v>
      </c>
    </row>
    <row r="48" ht="15.15" spans="1:5">
      <c r="A48" s="92"/>
      <c r="B48" s="120"/>
      <c r="C48" s="120"/>
      <c r="D48" s="121"/>
      <c r="E48" s="121"/>
    </row>
    <row r="49" ht="15.15" spans="1:5">
      <c r="A49" s="92"/>
      <c r="B49" s="120"/>
      <c r="C49" s="122" t="s">
        <v>46</v>
      </c>
      <c r="D49" s="123">
        <f t="shared" ref="D49:E49" si="4">D34-D47</f>
        <v>159814</v>
      </c>
      <c r="E49" s="124">
        <f t="shared" si="4"/>
        <v>159814</v>
      </c>
    </row>
    <row r="50" spans="1:5">
      <c r="A50" s="92"/>
      <c r="B50" s="75"/>
      <c r="C50" s="75"/>
      <c r="D50" s="125"/>
      <c r="E50" s="125"/>
    </row>
    <row r="51" spans="1:5">
      <c r="A51" s="126" t="s">
        <v>47</v>
      </c>
      <c r="B51" s="127"/>
      <c r="C51" s="127"/>
      <c r="D51" s="127"/>
      <c r="E51" s="127"/>
    </row>
    <row r="52" spans="1:5">
      <c r="A52" s="128" t="s">
        <v>48</v>
      </c>
      <c r="B52" s="127"/>
      <c r="C52" s="127"/>
      <c r="D52" s="127"/>
      <c r="E52" s="127"/>
    </row>
    <row r="59" s="64" customFormat="1" spans="1:5">
      <c r="A59" s="64" t="s">
        <v>49</v>
      </c>
      <c r="E59" s="64" t="s">
        <v>50</v>
      </c>
    </row>
    <row r="63" ht="15.15" spans="1:5">
      <c r="A63" s="129"/>
      <c r="B63" s="129"/>
      <c r="E63" s="129"/>
    </row>
    <row r="83" spans="5:5">
      <c r="E83" s="132">
        <f>E34+'Dec 2021'!E34+'Nov 2021'!E34</f>
        <v>678898.32</v>
      </c>
    </row>
    <row r="84" spans="5:5">
      <c r="E84" s="132">
        <f>E83/3</f>
        <v>226299.44</v>
      </c>
    </row>
    <row r="85" spans="5:5">
      <c r="E85" s="65">
        <v>226814</v>
      </c>
    </row>
    <row r="86" spans="5:5">
      <c r="E86" s="132">
        <f>E49-E85</f>
        <v>-67000</v>
      </c>
    </row>
  </sheetData>
  <mergeCells count="2">
    <mergeCell ref="A51:E51"/>
    <mergeCell ref="A52:E52"/>
  </mergeCells>
  <conditionalFormatting sqref="B34">
    <cfRule type="containsText" dxfId="0" priority="1" operator="between" text="Vertex42">
      <formula>NOT(ISERROR(SEARCH("Vertex42",B34)))</formula>
    </cfRule>
  </conditionalFormatting>
  <dataValidations count="2">
    <dataValidation type="list" allowBlank="1" sqref="D14">
      <formula1>"Weekly,Bi-Weekly,Monthly"</formula1>
    </dataValidation>
    <dataValidation type="list" allowBlank="1" sqref="D18">
      <formula1>"Check, Cash, BACS, ACH, EFT"</formula1>
    </dataValidation>
  </dataValidations>
  <pageMargins left="0.7" right="0.7" top="0.75" bottom="0.75" header="0.3" footer="0.3"/>
  <pageSetup paperSize="1" scale="58" orientation="portrait"/>
  <headerFooter>
    <oddFooter>&amp;L&amp;"Trebuchet MS,Regular"&amp;10Smart solutions driven by an ethic of service</oddFooter>
  </headerFooter>
  <colBreaks count="1" manualBreakCount="1">
    <brk id="11" max="51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E84"/>
  <sheetViews>
    <sheetView view="pageBreakPreview" zoomScaleNormal="100" topLeftCell="A25" workbookViewId="0">
      <selection activeCell="D37" sqref="D37"/>
    </sheetView>
  </sheetViews>
  <sheetFormatPr defaultColWidth="14.8148148148148" defaultRowHeight="14.4" outlineLevelCol="4"/>
  <cols>
    <col min="1" max="1" width="18.2685185185185" style="65" customWidth="1"/>
    <col min="2" max="2" width="6" style="65" customWidth="1"/>
    <col min="3" max="3" width="15.9074074074074" style="65" customWidth="1"/>
    <col min="4" max="4" width="14.4537037037037" style="65" customWidth="1"/>
    <col min="5" max="5" width="14.7222222222222" style="65" customWidth="1"/>
    <col min="6" max="16384" width="14.8148148148148" style="65"/>
  </cols>
  <sheetData>
    <row r="8" ht="17" customHeight="1" spans="1:5">
      <c r="A8" s="66" t="s">
        <v>0</v>
      </c>
      <c r="B8" s="67"/>
      <c r="C8" s="68"/>
      <c r="D8" s="69"/>
      <c r="E8" s="70" t="s">
        <v>1</v>
      </c>
    </row>
    <row r="9" ht="17" customHeight="1" spans="1:5">
      <c r="A9" s="71" t="s">
        <v>2</v>
      </c>
      <c r="B9" s="67"/>
      <c r="C9" s="68"/>
      <c r="D9" s="69"/>
      <c r="E9" s="70"/>
    </row>
    <row r="10" spans="1:5">
      <c r="A10" s="71" t="s">
        <v>3</v>
      </c>
      <c r="B10" s="72"/>
      <c r="C10" s="73"/>
      <c r="D10" s="73"/>
      <c r="E10" s="73"/>
    </row>
    <row r="11" spans="1:5">
      <c r="A11" s="71" t="s">
        <v>4</v>
      </c>
      <c r="B11" s="72"/>
      <c r="C11" s="73"/>
      <c r="D11" s="73"/>
      <c r="E11" s="73"/>
    </row>
    <row r="12" spans="1:5">
      <c r="A12" s="74"/>
      <c r="B12" s="75"/>
      <c r="C12" s="76"/>
      <c r="D12" s="76"/>
      <c r="E12" s="76"/>
    </row>
    <row r="13" spans="1:5">
      <c r="A13" s="77" t="s">
        <v>5</v>
      </c>
      <c r="B13" s="75"/>
      <c r="C13" s="78" t="s">
        <v>6</v>
      </c>
      <c r="D13" s="79" t="s">
        <v>7</v>
      </c>
      <c r="E13" s="80" t="s">
        <v>8</v>
      </c>
    </row>
    <row r="14" spans="1:5">
      <c r="A14" s="81" t="s">
        <v>9</v>
      </c>
      <c r="B14" s="75"/>
      <c r="C14" s="82">
        <f>Sheet2!A9</f>
        <v>44620</v>
      </c>
      <c r="D14" s="83" t="s">
        <v>10</v>
      </c>
      <c r="E14" s="84">
        <f>Sheet2!D9</f>
        <v>44593</v>
      </c>
    </row>
    <row r="15" spans="1:5">
      <c r="A15" s="85" t="s">
        <v>11</v>
      </c>
      <c r="B15" s="86" t="s">
        <v>12</v>
      </c>
      <c r="C15" s="78" t="s">
        <v>13</v>
      </c>
      <c r="D15" s="79" t="s">
        <v>14</v>
      </c>
      <c r="E15" s="80" t="s">
        <v>15</v>
      </c>
    </row>
    <row r="16" spans="1:5">
      <c r="A16" s="85" t="s">
        <v>16</v>
      </c>
      <c r="B16" s="75"/>
      <c r="C16" s="133" t="s">
        <v>17</v>
      </c>
      <c r="D16" s="134" t="s">
        <v>18</v>
      </c>
      <c r="E16" s="89" t="s">
        <v>19</v>
      </c>
    </row>
    <row r="17" spans="1:5">
      <c r="A17" s="85" t="s">
        <v>20</v>
      </c>
      <c r="B17" s="75"/>
      <c r="C17" s="90"/>
      <c r="D17" s="90"/>
      <c r="E17" s="90"/>
    </row>
    <row r="18" spans="1:5">
      <c r="A18" s="85" t="s">
        <v>21</v>
      </c>
      <c r="B18" s="75"/>
      <c r="C18" s="90" t="s">
        <v>22</v>
      </c>
      <c r="D18" s="91" t="s">
        <v>23</v>
      </c>
      <c r="E18" s="90"/>
    </row>
    <row r="19" spans="1:5">
      <c r="A19" s="92"/>
      <c r="B19" s="75"/>
      <c r="C19" s="90"/>
      <c r="D19" s="90"/>
      <c r="E19" s="90"/>
    </row>
    <row r="20" ht="26.4" spans="1:5">
      <c r="A20" s="93" t="s">
        <v>24</v>
      </c>
      <c r="B20" s="94" t="s">
        <v>25</v>
      </c>
      <c r="C20" s="94" t="s">
        <v>26</v>
      </c>
      <c r="D20" s="95" t="s">
        <v>27</v>
      </c>
      <c r="E20" s="96" t="s">
        <v>28</v>
      </c>
    </row>
    <row r="21" spans="1:5">
      <c r="A21" s="97" t="s">
        <v>29</v>
      </c>
      <c r="B21" s="98">
        <f>Sheet2!E9</f>
        <v>160</v>
      </c>
      <c r="C21" s="98">
        <f>Sheet2!F8</f>
        <v>937.5</v>
      </c>
      <c r="D21" s="99">
        <f>C21*B21</f>
        <v>150000</v>
      </c>
      <c r="E21" s="100">
        <f>D21</f>
        <v>150000</v>
      </c>
    </row>
    <row r="22" spans="1:5">
      <c r="A22" s="97" t="s">
        <v>30</v>
      </c>
      <c r="B22" s="101">
        <v>74.335008</v>
      </c>
      <c r="C22" s="98">
        <f>Sheet2!I8</f>
        <v>937.5</v>
      </c>
      <c r="D22" s="99">
        <f>B22*C22</f>
        <v>69689.07</v>
      </c>
      <c r="E22" s="100">
        <f>D22</f>
        <v>69689.07</v>
      </c>
    </row>
    <row r="23" spans="1:5">
      <c r="A23" s="97" t="s">
        <v>31</v>
      </c>
      <c r="B23" s="102">
        <v>0</v>
      </c>
      <c r="C23" s="102">
        <v>0</v>
      </c>
      <c r="D23" s="102">
        <v>0</v>
      </c>
      <c r="E23" s="100">
        <f>C23*D23</f>
        <v>0</v>
      </c>
    </row>
    <row r="24" spans="1:5">
      <c r="A24" s="97" t="s">
        <v>32</v>
      </c>
      <c r="B24" s="102">
        <v>0</v>
      </c>
      <c r="C24" s="102">
        <v>0</v>
      </c>
      <c r="D24" s="102">
        <v>0</v>
      </c>
      <c r="E24" s="100">
        <f t="shared" ref="E24:E29" si="0">C24*D24</f>
        <v>0</v>
      </c>
    </row>
    <row r="25" spans="1:5">
      <c r="A25" s="97" t="s">
        <v>33</v>
      </c>
      <c r="B25" s="102">
        <v>0</v>
      </c>
      <c r="C25" s="102">
        <v>0</v>
      </c>
      <c r="D25" s="102">
        <v>0</v>
      </c>
      <c r="E25" s="100">
        <f t="shared" si="0"/>
        <v>0</v>
      </c>
    </row>
    <row r="26" spans="1:5">
      <c r="A26" s="97" t="s">
        <v>29</v>
      </c>
      <c r="B26" s="102">
        <v>0</v>
      </c>
      <c r="C26" s="102">
        <v>0</v>
      </c>
      <c r="D26" s="102">
        <v>0</v>
      </c>
      <c r="E26" s="100">
        <f t="shared" si="0"/>
        <v>0</v>
      </c>
    </row>
    <row r="27" spans="1:5">
      <c r="A27" s="97" t="s">
        <v>34</v>
      </c>
      <c r="B27" s="102">
        <v>0</v>
      </c>
      <c r="C27" s="102">
        <v>0</v>
      </c>
      <c r="D27" s="102">
        <v>0</v>
      </c>
      <c r="E27" s="100">
        <f t="shared" si="0"/>
        <v>0</v>
      </c>
    </row>
    <row r="28" spans="1:5">
      <c r="A28" s="97" t="s">
        <v>35</v>
      </c>
      <c r="B28" s="102">
        <v>0</v>
      </c>
      <c r="C28" s="102">
        <v>0</v>
      </c>
      <c r="D28" s="102">
        <v>0</v>
      </c>
      <c r="E28" s="100">
        <f t="shared" si="0"/>
        <v>0</v>
      </c>
    </row>
    <row r="29" spans="1:5">
      <c r="A29" s="97" t="s">
        <v>36</v>
      </c>
      <c r="B29" s="102">
        <v>0</v>
      </c>
      <c r="C29" s="102">
        <v>0</v>
      </c>
      <c r="D29" s="102">
        <v>0</v>
      </c>
      <c r="E29" s="100">
        <f t="shared" si="0"/>
        <v>0</v>
      </c>
    </row>
    <row r="30" spans="1:5">
      <c r="A30" s="97">
        <v>0</v>
      </c>
      <c r="B30" s="103"/>
      <c r="C30" s="104"/>
      <c r="D30" s="99" t="s">
        <v>37</v>
      </c>
      <c r="E30" s="100"/>
    </row>
    <row r="31" spans="1:5">
      <c r="A31" s="97">
        <v>0</v>
      </c>
      <c r="B31" s="103"/>
      <c r="C31" s="104"/>
      <c r="D31" s="99" t="s">
        <v>37</v>
      </c>
      <c r="E31" s="100"/>
    </row>
    <row r="32" spans="1:5">
      <c r="A32" s="97">
        <v>0</v>
      </c>
      <c r="B32" s="103"/>
      <c r="C32" s="104"/>
      <c r="D32" s="99" t="s">
        <v>37</v>
      </c>
      <c r="E32" s="100"/>
    </row>
    <row r="33" spans="1:5">
      <c r="A33" s="97">
        <v>0</v>
      </c>
      <c r="B33" s="103"/>
      <c r="C33" s="104"/>
      <c r="D33" s="99" t="s">
        <v>37</v>
      </c>
      <c r="E33" s="100"/>
    </row>
    <row r="34" spans="1:5">
      <c r="A34" s="105"/>
      <c r="B34" s="106"/>
      <c r="C34" s="107" t="s">
        <v>38</v>
      </c>
      <c r="D34" s="108">
        <f t="shared" ref="D34:E34" si="1">SUM(D21:D33)</f>
        <v>219689.07</v>
      </c>
      <c r="E34" s="109">
        <f t="shared" si="1"/>
        <v>219689.07</v>
      </c>
    </row>
    <row r="35" spans="1:5">
      <c r="A35" s="92"/>
      <c r="B35" s="75"/>
      <c r="C35" s="75"/>
      <c r="D35" s="110"/>
      <c r="E35" s="110"/>
    </row>
    <row r="36" spans="1:5">
      <c r="A36" s="93" t="s">
        <v>39</v>
      </c>
      <c r="B36" s="94"/>
      <c r="C36" s="94"/>
      <c r="D36" s="95" t="s">
        <v>27</v>
      </c>
      <c r="E36" s="111" t="s">
        <v>28</v>
      </c>
    </row>
    <row r="37" spans="1:5">
      <c r="A37" s="97" t="s">
        <v>40</v>
      </c>
      <c r="B37" s="103"/>
      <c r="C37" s="103"/>
      <c r="D37" s="130">
        <v>57975.07</v>
      </c>
      <c r="E37" s="131">
        <f>D37</f>
        <v>57975.07</v>
      </c>
    </row>
    <row r="38" spans="1:5">
      <c r="A38" s="97" t="s">
        <v>41</v>
      </c>
      <c r="B38" s="103"/>
      <c r="C38" s="103"/>
      <c r="D38" s="130">
        <v>1700</v>
      </c>
      <c r="E38" s="131">
        <f t="shared" ref="E38:E41" si="2">D38</f>
        <v>1700</v>
      </c>
    </row>
    <row r="39" spans="1:5">
      <c r="A39" s="97" t="s">
        <v>42</v>
      </c>
      <c r="B39" s="103"/>
      <c r="C39" s="103"/>
      <c r="D39" s="130">
        <v>0</v>
      </c>
      <c r="E39" s="131">
        <f t="shared" si="2"/>
        <v>0</v>
      </c>
    </row>
    <row r="40" spans="1:5">
      <c r="A40" s="97" t="s">
        <v>43</v>
      </c>
      <c r="B40" s="103"/>
      <c r="C40" s="103"/>
      <c r="D40" s="130">
        <v>200</v>
      </c>
      <c r="E40" s="131">
        <f t="shared" si="2"/>
        <v>200</v>
      </c>
    </row>
    <row r="41" spans="1:5">
      <c r="A41" s="97" t="s">
        <v>44</v>
      </c>
      <c r="B41" s="103"/>
      <c r="C41" s="103"/>
      <c r="D41" s="130">
        <v>0</v>
      </c>
      <c r="E41" s="131">
        <f t="shared" si="2"/>
        <v>0</v>
      </c>
    </row>
    <row r="42" spans="1:5">
      <c r="A42" s="97">
        <v>0</v>
      </c>
      <c r="B42" s="103"/>
      <c r="C42" s="103"/>
      <c r="D42" s="130" t="s">
        <v>37</v>
      </c>
      <c r="E42" s="131">
        <v>0</v>
      </c>
    </row>
    <row r="43" spans="1:5">
      <c r="A43" s="97">
        <v>0</v>
      </c>
      <c r="B43" s="103"/>
      <c r="C43" s="103"/>
      <c r="D43" s="130" t="s">
        <v>37</v>
      </c>
      <c r="E43" s="131">
        <v>0</v>
      </c>
    </row>
    <row r="44" spans="1:5">
      <c r="A44" s="97">
        <v>0</v>
      </c>
      <c r="B44" s="103"/>
      <c r="C44" s="103"/>
      <c r="D44" s="130" t="s">
        <v>37</v>
      </c>
      <c r="E44" s="131">
        <v>0</v>
      </c>
    </row>
    <row r="45" spans="1:5">
      <c r="A45" s="97">
        <v>0</v>
      </c>
      <c r="B45" s="103"/>
      <c r="C45" s="103"/>
      <c r="D45" s="130" t="s">
        <v>37</v>
      </c>
      <c r="E45" s="131">
        <v>0</v>
      </c>
    </row>
    <row r="46" spans="1:5">
      <c r="A46" s="97">
        <v>0</v>
      </c>
      <c r="B46" s="103"/>
      <c r="C46" s="103"/>
      <c r="D46" s="130" t="s">
        <v>37</v>
      </c>
      <c r="E46" s="131">
        <v>0</v>
      </c>
    </row>
    <row r="47" spans="1:5">
      <c r="A47" s="105"/>
      <c r="B47" s="116"/>
      <c r="C47" s="117" t="s">
        <v>45</v>
      </c>
      <c r="D47" s="118">
        <f>SUM(D37:D46)</f>
        <v>59875.07</v>
      </c>
      <c r="E47" s="119">
        <f t="shared" ref="E47" si="3">SUM(E37:E46)</f>
        <v>59875.07</v>
      </c>
    </row>
    <row r="48" ht="15.15" spans="1:5">
      <c r="A48" s="92"/>
      <c r="B48" s="120"/>
      <c r="C48" s="120"/>
      <c r="D48" s="121"/>
      <c r="E48" s="121"/>
    </row>
    <row r="49" ht="15.15" spans="1:5">
      <c r="A49" s="92"/>
      <c r="B49" s="120"/>
      <c r="C49" s="122" t="s">
        <v>46</v>
      </c>
      <c r="D49" s="123">
        <f t="shared" ref="D49:E49" si="4">D34-D47</f>
        <v>159814</v>
      </c>
      <c r="E49" s="124">
        <f t="shared" si="4"/>
        <v>159814</v>
      </c>
    </row>
    <row r="50" spans="1:5">
      <c r="A50" s="92"/>
      <c r="B50" s="75"/>
      <c r="C50" s="75"/>
      <c r="D50" s="125"/>
      <c r="E50" s="125"/>
    </row>
    <row r="51" spans="1:5">
      <c r="A51" s="126" t="s">
        <v>47</v>
      </c>
      <c r="B51" s="127"/>
      <c r="C51" s="127"/>
      <c r="D51" s="127"/>
      <c r="E51" s="127"/>
    </row>
    <row r="52" spans="1:5">
      <c r="A52" s="128" t="s">
        <v>48</v>
      </c>
      <c r="B52" s="127"/>
      <c r="C52" s="127"/>
      <c r="D52" s="127"/>
      <c r="E52" s="127"/>
    </row>
    <row r="59" s="64" customFormat="1" spans="1:5">
      <c r="A59" s="64" t="s">
        <v>49</v>
      </c>
      <c r="E59" s="64" t="s">
        <v>50</v>
      </c>
    </row>
    <row r="63" ht="15.15" spans="1:5">
      <c r="A63" s="129"/>
      <c r="B63" s="129"/>
      <c r="E63" s="129"/>
    </row>
    <row r="83" spans="5:5">
      <c r="E83" s="132">
        <f>E34+'Dec 2021'!E34+'Nov 2021'!E34</f>
        <v>678898.32</v>
      </c>
    </row>
    <row r="84" spans="5:5">
      <c r="E84" s="132">
        <f>E83/3</f>
        <v>226299.44</v>
      </c>
    </row>
  </sheetData>
  <mergeCells count="2">
    <mergeCell ref="A51:E51"/>
    <mergeCell ref="A52:E52"/>
  </mergeCells>
  <conditionalFormatting sqref="B34">
    <cfRule type="containsText" dxfId="0" priority="1" operator="between" text="Vertex42">
      <formula>NOT(ISERROR(SEARCH("Vertex42",B34)))</formula>
    </cfRule>
  </conditionalFormatting>
  <dataValidations count="2">
    <dataValidation type="list" allowBlank="1" sqref="D14">
      <formula1>"Weekly,Bi-Weekly,Monthly"</formula1>
    </dataValidation>
    <dataValidation type="list" allowBlank="1" sqref="D18">
      <formula1>"Check, Cash, BACS, ACH, EFT"</formula1>
    </dataValidation>
  </dataValidations>
  <pageMargins left="0.7" right="0.7" top="0.75" bottom="0.75" header="0.3" footer="0.3"/>
  <pageSetup paperSize="1" scale="58" orientation="portrait"/>
  <headerFooter>
    <oddFooter>&amp;L&amp;"Trebuchet MS,Regular"&amp;10Smart solutions driven by an ethic of service</oddFooter>
  </headerFooter>
  <colBreaks count="1" manualBreakCount="1">
    <brk id="11" max="51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E84"/>
  <sheetViews>
    <sheetView view="pageBreakPreview" zoomScaleNormal="100" topLeftCell="A37" workbookViewId="0">
      <selection activeCell="D37" sqref="D37"/>
    </sheetView>
  </sheetViews>
  <sheetFormatPr defaultColWidth="14.8148148148148" defaultRowHeight="14.4" outlineLevelCol="4"/>
  <cols>
    <col min="1" max="1" width="18.2685185185185" style="65" customWidth="1"/>
    <col min="2" max="2" width="6" style="65" customWidth="1"/>
    <col min="3" max="3" width="15.9074074074074" style="65" customWidth="1"/>
    <col min="4" max="4" width="14.4537037037037" style="65" customWidth="1"/>
    <col min="5" max="5" width="14.7222222222222" style="65" customWidth="1"/>
    <col min="6" max="16384" width="14.8148148148148" style="65"/>
  </cols>
  <sheetData>
    <row r="8" ht="17" customHeight="1" spans="1:5">
      <c r="A8" s="66" t="s">
        <v>0</v>
      </c>
      <c r="B8" s="67"/>
      <c r="C8" s="68"/>
      <c r="D8" s="69"/>
      <c r="E8" s="70" t="s">
        <v>1</v>
      </c>
    </row>
    <row r="9" ht="17" customHeight="1" spans="1:5">
      <c r="A9" s="71" t="s">
        <v>2</v>
      </c>
      <c r="B9" s="67"/>
      <c r="C9" s="68"/>
      <c r="D9" s="69"/>
      <c r="E9" s="70"/>
    </row>
    <row r="10" spans="1:5">
      <c r="A10" s="71" t="s">
        <v>3</v>
      </c>
      <c r="B10" s="72"/>
      <c r="C10" s="73"/>
      <c r="D10" s="73"/>
      <c r="E10" s="73"/>
    </row>
    <row r="11" spans="1:5">
      <c r="A11" s="71" t="s">
        <v>4</v>
      </c>
      <c r="B11" s="72"/>
      <c r="C11" s="73"/>
      <c r="D11" s="73"/>
      <c r="E11" s="73"/>
    </row>
    <row r="12" spans="1:5">
      <c r="A12" s="74"/>
      <c r="B12" s="75"/>
      <c r="C12" s="76"/>
      <c r="D12" s="76"/>
      <c r="E12" s="76"/>
    </row>
    <row r="13" spans="1:5">
      <c r="A13" s="77" t="s">
        <v>5</v>
      </c>
      <c r="B13" s="75"/>
      <c r="C13" s="78" t="s">
        <v>6</v>
      </c>
      <c r="D13" s="79" t="s">
        <v>7</v>
      </c>
      <c r="E13" s="80" t="s">
        <v>8</v>
      </c>
    </row>
    <row r="14" spans="1:5">
      <c r="A14" s="81" t="s">
        <v>9</v>
      </c>
      <c r="B14" s="75"/>
      <c r="C14" s="82">
        <f>Sheet2!A8</f>
        <v>44592</v>
      </c>
      <c r="D14" s="83" t="s">
        <v>10</v>
      </c>
      <c r="E14" s="84">
        <v>44562</v>
      </c>
    </row>
    <row r="15" spans="1:5">
      <c r="A15" s="85" t="s">
        <v>11</v>
      </c>
      <c r="B15" s="86" t="s">
        <v>12</v>
      </c>
      <c r="C15" s="78" t="s">
        <v>13</v>
      </c>
      <c r="D15" s="79" t="s">
        <v>14</v>
      </c>
      <c r="E15" s="80" t="s">
        <v>15</v>
      </c>
    </row>
    <row r="16" spans="1:5">
      <c r="A16" s="85" t="s">
        <v>16</v>
      </c>
      <c r="B16" s="75"/>
      <c r="C16" s="133" t="s">
        <v>17</v>
      </c>
      <c r="D16" s="134" t="s">
        <v>18</v>
      </c>
      <c r="E16" s="89" t="s">
        <v>19</v>
      </c>
    </row>
    <row r="17" spans="1:5">
      <c r="A17" s="85" t="s">
        <v>20</v>
      </c>
      <c r="B17" s="75"/>
      <c r="C17" s="90"/>
      <c r="D17" s="90"/>
      <c r="E17" s="90"/>
    </row>
    <row r="18" spans="1:5">
      <c r="A18" s="85" t="s">
        <v>21</v>
      </c>
      <c r="B18" s="75"/>
      <c r="C18" s="90" t="s">
        <v>22</v>
      </c>
      <c r="D18" s="91" t="s">
        <v>23</v>
      </c>
      <c r="E18" s="90"/>
    </row>
    <row r="19" spans="1:5">
      <c r="A19" s="92"/>
      <c r="B19" s="75"/>
      <c r="C19" s="90"/>
      <c r="D19" s="90"/>
      <c r="E19" s="90"/>
    </row>
    <row r="20" ht="26.4" spans="1:5">
      <c r="A20" s="93" t="s">
        <v>24</v>
      </c>
      <c r="B20" s="94" t="s">
        <v>25</v>
      </c>
      <c r="C20" s="94" t="s">
        <v>26</v>
      </c>
      <c r="D20" s="95" t="s">
        <v>27</v>
      </c>
      <c r="E20" s="96" t="s">
        <v>28</v>
      </c>
    </row>
    <row r="21" spans="1:5">
      <c r="A21" s="97" t="s">
        <v>29</v>
      </c>
      <c r="B21" s="98">
        <f>Sheet2!E8</f>
        <v>160</v>
      </c>
      <c r="C21" s="98">
        <f>Sheet2!F8</f>
        <v>937.5</v>
      </c>
      <c r="D21" s="99">
        <f>C21*B21</f>
        <v>150000</v>
      </c>
      <c r="E21" s="100">
        <f>D21</f>
        <v>150000</v>
      </c>
    </row>
    <row r="22" spans="1:5">
      <c r="A22" s="97" t="s">
        <v>30</v>
      </c>
      <c r="B22" s="101">
        <v>74.335008</v>
      </c>
      <c r="C22" s="98">
        <f>Sheet2!I8</f>
        <v>937.5</v>
      </c>
      <c r="D22" s="99">
        <f>B22*C22</f>
        <v>69689.07</v>
      </c>
      <c r="E22" s="100">
        <f>D22</f>
        <v>69689.07</v>
      </c>
    </row>
    <row r="23" spans="1:5">
      <c r="A23" s="97" t="s">
        <v>31</v>
      </c>
      <c r="B23" s="102">
        <v>0</v>
      </c>
      <c r="C23" s="102">
        <v>0</v>
      </c>
      <c r="D23" s="102">
        <v>0</v>
      </c>
      <c r="E23" s="100">
        <f>C23*D23</f>
        <v>0</v>
      </c>
    </row>
    <row r="24" spans="1:5">
      <c r="A24" s="97" t="s">
        <v>32</v>
      </c>
      <c r="B24" s="102">
        <v>0</v>
      </c>
      <c r="C24" s="102">
        <v>0</v>
      </c>
      <c r="D24" s="102">
        <v>0</v>
      </c>
      <c r="E24" s="100">
        <f t="shared" ref="E24:E29" si="0">C24*D24</f>
        <v>0</v>
      </c>
    </row>
    <row r="25" spans="1:5">
      <c r="A25" s="97" t="s">
        <v>33</v>
      </c>
      <c r="B25" s="102">
        <v>0</v>
      </c>
      <c r="C25" s="102">
        <v>0</v>
      </c>
      <c r="D25" s="102">
        <v>0</v>
      </c>
      <c r="E25" s="100">
        <f t="shared" si="0"/>
        <v>0</v>
      </c>
    </row>
    <row r="26" spans="1:5">
      <c r="A26" s="97" t="s">
        <v>29</v>
      </c>
      <c r="B26" s="102">
        <v>0</v>
      </c>
      <c r="C26" s="102">
        <v>0</v>
      </c>
      <c r="D26" s="102">
        <v>0</v>
      </c>
      <c r="E26" s="100">
        <f t="shared" si="0"/>
        <v>0</v>
      </c>
    </row>
    <row r="27" spans="1:5">
      <c r="A27" s="97" t="s">
        <v>34</v>
      </c>
      <c r="B27" s="102">
        <v>0</v>
      </c>
      <c r="C27" s="102">
        <v>0</v>
      </c>
      <c r="D27" s="102">
        <v>0</v>
      </c>
      <c r="E27" s="100">
        <f t="shared" si="0"/>
        <v>0</v>
      </c>
    </row>
    <row r="28" spans="1:5">
      <c r="A28" s="97" t="s">
        <v>35</v>
      </c>
      <c r="B28" s="102">
        <v>0</v>
      </c>
      <c r="C28" s="102">
        <v>0</v>
      </c>
      <c r="D28" s="102">
        <v>0</v>
      </c>
      <c r="E28" s="100">
        <f t="shared" si="0"/>
        <v>0</v>
      </c>
    </row>
    <row r="29" spans="1:5">
      <c r="A29" s="97" t="s">
        <v>36</v>
      </c>
      <c r="B29" s="102">
        <v>0</v>
      </c>
      <c r="C29" s="102">
        <v>0</v>
      </c>
      <c r="D29" s="102">
        <v>0</v>
      </c>
      <c r="E29" s="100">
        <f t="shared" si="0"/>
        <v>0</v>
      </c>
    </row>
    <row r="30" spans="1:5">
      <c r="A30" s="97">
        <v>0</v>
      </c>
      <c r="B30" s="103"/>
      <c r="C30" s="104"/>
      <c r="D30" s="99" t="s">
        <v>37</v>
      </c>
      <c r="E30" s="100"/>
    </row>
    <row r="31" spans="1:5">
      <c r="A31" s="97">
        <v>0</v>
      </c>
      <c r="B31" s="103"/>
      <c r="C31" s="104"/>
      <c r="D31" s="99" t="s">
        <v>37</v>
      </c>
      <c r="E31" s="100"/>
    </row>
    <row r="32" spans="1:5">
      <c r="A32" s="97">
        <v>0</v>
      </c>
      <c r="B32" s="103"/>
      <c r="C32" s="104"/>
      <c r="D32" s="99" t="s">
        <v>37</v>
      </c>
      <c r="E32" s="100"/>
    </row>
    <row r="33" spans="1:5">
      <c r="A33" s="97">
        <v>0</v>
      </c>
      <c r="B33" s="103"/>
      <c r="C33" s="104"/>
      <c r="D33" s="99" t="s">
        <v>37</v>
      </c>
      <c r="E33" s="100"/>
    </row>
    <row r="34" spans="1:5">
      <c r="A34" s="105"/>
      <c r="B34" s="106"/>
      <c r="C34" s="107" t="s">
        <v>38</v>
      </c>
      <c r="D34" s="108">
        <f t="shared" ref="D34:E34" si="1">SUM(D21:D33)</f>
        <v>219689.07</v>
      </c>
      <c r="E34" s="109">
        <f t="shared" si="1"/>
        <v>219689.07</v>
      </c>
    </row>
    <row r="35" spans="1:5">
      <c r="A35" s="92"/>
      <c r="B35" s="75"/>
      <c r="C35" s="75"/>
      <c r="D35" s="110"/>
      <c r="E35" s="110"/>
    </row>
    <row r="36" spans="1:5">
      <c r="A36" s="93" t="s">
        <v>39</v>
      </c>
      <c r="B36" s="94"/>
      <c r="C36" s="94"/>
      <c r="D36" s="95" t="s">
        <v>27</v>
      </c>
      <c r="E36" s="111" t="s">
        <v>28</v>
      </c>
    </row>
    <row r="37" spans="1:5">
      <c r="A37" s="97" t="s">
        <v>40</v>
      </c>
      <c r="B37" s="103"/>
      <c r="C37" s="103"/>
      <c r="D37" s="130">
        <v>57975.07</v>
      </c>
      <c r="E37" s="131">
        <f>D37</f>
        <v>57975.07</v>
      </c>
    </row>
    <row r="38" spans="1:5">
      <c r="A38" s="97" t="s">
        <v>41</v>
      </c>
      <c r="B38" s="103"/>
      <c r="C38" s="103"/>
      <c r="D38" s="130">
        <v>1700</v>
      </c>
      <c r="E38" s="131">
        <f t="shared" ref="E38:E41" si="2">D38</f>
        <v>1700</v>
      </c>
    </row>
    <row r="39" spans="1:5">
      <c r="A39" s="97" t="s">
        <v>42</v>
      </c>
      <c r="B39" s="103"/>
      <c r="C39" s="103"/>
      <c r="D39" s="130">
        <v>0</v>
      </c>
      <c r="E39" s="131">
        <f t="shared" si="2"/>
        <v>0</v>
      </c>
    </row>
    <row r="40" spans="1:5">
      <c r="A40" s="97" t="s">
        <v>43</v>
      </c>
      <c r="B40" s="103"/>
      <c r="C40" s="103"/>
      <c r="D40" s="130">
        <v>200</v>
      </c>
      <c r="E40" s="131">
        <f t="shared" si="2"/>
        <v>200</v>
      </c>
    </row>
    <row r="41" spans="1:5">
      <c r="A41" s="97" t="s">
        <v>44</v>
      </c>
      <c r="B41" s="103"/>
      <c r="C41" s="103"/>
      <c r="D41" s="130">
        <v>0</v>
      </c>
      <c r="E41" s="131">
        <f t="shared" si="2"/>
        <v>0</v>
      </c>
    </row>
    <row r="42" spans="1:5">
      <c r="A42" s="97">
        <v>0</v>
      </c>
      <c r="B42" s="103"/>
      <c r="C42" s="103"/>
      <c r="D42" s="130" t="s">
        <v>37</v>
      </c>
      <c r="E42" s="131">
        <v>0</v>
      </c>
    </row>
    <row r="43" spans="1:5">
      <c r="A43" s="97">
        <v>0</v>
      </c>
      <c r="B43" s="103"/>
      <c r="C43" s="103"/>
      <c r="D43" s="130" t="s">
        <v>37</v>
      </c>
      <c r="E43" s="131">
        <v>0</v>
      </c>
    </row>
    <row r="44" spans="1:5">
      <c r="A44" s="97">
        <v>0</v>
      </c>
      <c r="B44" s="103"/>
      <c r="C44" s="103"/>
      <c r="D44" s="130" t="s">
        <v>37</v>
      </c>
      <c r="E44" s="131">
        <v>0</v>
      </c>
    </row>
    <row r="45" spans="1:5">
      <c r="A45" s="97">
        <v>0</v>
      </c>
      <c r="B45" s="103"/>
      <c r="C45" s="103"/>
      <c r="D45" s="130" t="s">
        <v>37</v>
      </c>
      <c r="E45" s="131">
        <v>0</v>
      </c>
    </row>
    <row r="46" spans="1:5">
      <c r="A46" s="97">
        <v>0</v>
      </c>
      <c r="B46" s="103"/>
      <c r="C46" s="103"/>
      <c r="D46" s="130" t="s">
        <v>37</v>
      </c>
      <c r="E46" s="131">
        <v>0</v>
      </c>
    </row>
    <row r="47" spans="1:5">
      <c r="A47" s="105"/>
      <c r="B47" s="116"/>
      <c r="C47" s="117" t="s">
        <v>45</v>
      </c>
      <c r="D47" s="118">
        <f>SUM(D37:D46)</f>
        <v>59875.07</v>
      </c>
      <c r="E47" s="119">
        <f t="shared" ref="E47" si="3">SUM(E37:E46)</f>
        <v>59875.07</v>
      </c>
    </row>
    <row r="48" ht="15.15" spans="1:5">
      <c r="A48" s="92"/>
      <c r="B48" s="120"/>
      <c r="C48" s="120"/>
      <c r="D48" s="121"/>
      <c r="E48" s="121"/>
    </row>
    <row r="49" ht="15.15" spans="1:5">
      <c r="A49" s="92"/>
      <c r="B49" s="120"/>
      <c r="C49" s="122" t="s">
        <v>46</v>
      </c>
      <c r="D49" s="123">
        <f t="shared" ref="D49:E49" si="4">D34-D47</f>
        <v>159814</v>
      </c>
      <c r="E49" s="124">
        <f t="shared" si="4"/>
        <v>159814</v>
      </c>
    </row>
    <row r="50" spans="1:5">
      <c r="A50" s="92"/>
      <c r="B50" s="75"/>
      <c r="C50" s="75"/>
      <c r="D50" s="125"/>
      <c r="E50" s="125"/>
    </row>
    <row r="51" spans="1:5">
      <c r="A51" s="126" t="s">
        <v>47</v>
      </c>
      <c r="B51" s="127"/>
      <c r="C51" s="127"/>
      <c r="D51" s="127"/>
      <c r="E51" s="127"/>
    </row>
    <row r="52" spans="1:5">
      <c r="A52" s="128" t="s">
        <v>48</v>
      </c>
      <c r="B52" s="127"/>
      <c r="C52" s="127"/>
      <c r="D52" s="127"/>
      <c r="E52" s="127"/>
    </row>
    <row r="59" s="64" customFormat="1" spans="1:5">
      <c r="A59" s="64" t="s">
        <v>49</v>
      </c>
      <c r="E59" s="64" t="s">
        <v>50</v>
      </c>
    </row>
    <row r="63" ht="15.15" spans="1:5">
      <c r="A63" s="129"/>
      <c r="B63" s="129"/>
      <c r="E63" s="129"/>
    </row>
    <row r="83" spans="5:5">
      <c r="E83" s="132">
        <f>E34+'Dec 2021'!E34+'Nov 2021'!E34</f>
        <v>678898.32</v>
      </c>
    </row>
    <row r="84" spans="5:5">
      <c r="E84" s="132">
        <f>E83/3</f>
        <v>226299.44</v>
      </c>
    </row>
  </sheetData>
  <mergeCells count="2">
    <mergeCell ref="A51:E51"/>
    <mergeCell ref="A52:E52"/>
  </mergeCells>
  <conditionalFormatting sqref="B34">
    <cfRule type="containsText" dxfId="0" priority="1" operator="between" text="Vertex42">
      <formula>NOT(ISERROR(SEARCH("Vertex42",B34)))</formula>
    </cfRule>
  </conditionalFormatting>
  <dataValidations count="2">
    <dataValidation type="list" allowBlank="1" sqref="D14">
      <formula1>"Weekly,Bi-Weekly,Monthly"</formula1>
    </dataValidation>
    <dataValidation type="list" allowBlank="1" sqref="D18">
      <formula1>"Check, Cash, BACS, ACH, EFT"</formula1>
    </dataValidation>
  </dataValidations>
  <pageMargins left="0.7" right="0.7" top="0.75" bottom="0.75" header="0.3" footer="0.3"/>
  <pageSetup paperSize="1" scale="58" orientation="portrait"/>
  <headerFooter>
    <oddFooter>&amp;L&amp;"Trebuchet MS,Regular"&amp;10Smart solutions driven by an ethic of service</oddFooter>
  </headerFooter>
  <colBreaks count="1" manualBreakCount="1">
    <brk id="11" max="51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E63"/>
  <sheetViews>
    <sheetView view="pageBreakPreview" zoomScaleNormal="100" topLeftCell="A13" workbookViewId="0">
      <selection activeCell="B22" sqref="B22"/>
    </sheetView>
  </sheetViews>
  <sheetFormatPr defaultColWidth="14.8148148148148" defaultRowHeight="14.4" outlineLevelCol="4"/>
  <cols>
    <col min="1" max="1" width="18.2685185185185" style="65" customWidth="1"/>
    <col min="2" max="2" width="6" style="65" customWidth="1"/>
    <col min="3" max="3" width="15.9074074074074" style="65" customWidth="1"/>
    <col min="4" max="4" width="14.4537037037037" style="65" customWidth="1"/>
    <col min="5" max="5" width="14.7222222222222" style="65" customWidth="1"/>
    <col min="6" max="16384" width="14.8148148148148" style="65"/>
  </cols>
  <sheetData>
    <row r="8" ht="17" customHeight="1" spans="1:5">
      <c r="A8" s="66" t="s">
        <v>0</v>
      </c>
      <c r="B8" s="67"/>
      <c r="C8" s="68"/>
      <c r="D8" s="69"/>
      <c r="E8" s="70" t="s">
        <v>1</v>
      </c>
    </row>
    <row r="9" ht="17" customHeight="1" spans="1:5">
      <c r="A9" s="71" t="s">
        <v>2</v>
      </c>
      <c r="B9" s="67"/>
      <c r="C9" s="68"/>
      <c r="D9" s="69"/>
      <c r="E9" s="70"/>
    </row>
    <row r="10" spans="1:5">
      <c r="A10" s="71" t="s">
        <v>3</v>
      </c>
      <c r="B10" s="72"/>
      <c r="C10" s="73"/>
      <c r="D10" s="73"/>
      <c r="E10" s="73"/>
    </row>
    <row r="11" spans="1:5">
      <c r="A11" s="71" t="s">
        <v>4</v>
      </c>
      <c r="B11" s="72"/>
      <c r="C11" s="73"/>
      <c r="D11" s="73"/>
      <c r="E11" s="73"/>
    </row>
    <row r="12" spans="1:5">
      <c r="A12" s="74"/>
      <c r="B12" s="75"/>
      <c r="C12" s="76"/>
      <c r="D12" s="76"/>
      <c r="E12" s="76"/>
    </row>
    <row r="13" spans="1:5">
      <c r="A13" s="77" t="s">
        <v>5</v>
      </c>
      <c r="B13" s="75"/>
      <c r="C13" s="78" t="s">
        <v>6</v>
      </c>
      <c r="D13" s="79" t="s">
        <v>7</v>
      </c>
      <c r="E13" s="80" t="s">
        <v>8</v>
      </c>
    </row>
    <row r="14" spans="1:5">
      <c r="A14" s="81" t="s">
        <v>9</v>
      </c>
      <c r="B14" s="75"/>
      <c r="C14" s="82">
        <f>Sheet2!A7</f>
        <v>44561</v>
      </c>
      <c r="D14" s="83" t="s">
        <v>10</v>
      </c>
      <c r="E14" s="84">
        <v>44531</v>
      </c>
    </row>
    <row r="15" spans="1:5">
      <c r="A15" s="85" t="s">
        <v>11</v>
      </c>
      <c r="B15" s="86" t="s">
        <v>12</v>
      </c>
      <c r="C15" s="78" t="s">
        <v>13</v>
      </c>
      <c r="D15" s="79" t="s">
        <v>14</v>
      </c>
      <c r="E15" s="80" t="s">
        <v>15</v>
      </c>
    </row>
    <row r="16" spans="1:5">
      <c r="A16" s="85" t="s">
        <v>16</v>
      </c>
      <c r="B16" s="75"/>
      <c r="C16" s="133" t="s">
        <v>17</v>
      </c>
      <c r="D16" s="134" t="s">
        <v>18</v>
      </c>
      <c r="E16" s="89" t="s">
        <v>19</v>
      </c>
    </row>
    <row r="17" spans="1:5">
      <c r="A17" s="85" t="s">
        <v>20</v>
      </c>
      <c r="B17" s="75"/>
      <c r="C17" s="90"/>
      <c r="D17" s="90"/>
      <c r="E17" s="90"/>
    </row>
    <row r="18" spans="1:5">
      <c r="A18" s="85" t="s">
        <v>21</v>
      </c>
      <c r="B18" s="75"/>
      <c r="C18" s="90" t="s">
        <v>22</v>
      </c>
      <c r="D18" s="91" t="s">
        <v>23</v>
      </c>
      <c r="E18" s="90"/>
    </row>
    <row r="19" spans="1:5">
      <c r="A19" s="92"/>
      <c r="B19" s="75"/>
      <c r="C19" s="90"/>
      <c r="D19" s="90"/>
      <c r="E19" s="90"/>
    </row>
    <row r="20" ht="26.4" spans="1:5">
      <c r="A20" s="93" t="s">
        <v>24</v>
      </c>
      <c r="B20" s="94" t="s">
        <v>25</v>
      </c>
      <c r="C20" s="94" t="s">
        <v>26</v>
      </c>
      <c r="D20" s="95" t="s">
        <v>27</v>
      </c>
      <c r="E20" s="96" t="s">
        <v>28</v>
      </c>
    </row>
    <row r="21" spans="1:5">
      <c r="A21" s="97" t="s">
        <v>29</v>
      </c>
      <c r="B21" s="98">
        <f>Sheet2!E7</f>
        <v>160</v>
      </c>
      <c r="C21" s="98">
        <f>Sheet2!F7</f>
        <v>937.5</v>
      </c>
      <c r="D21" s="99">
        <f>C21*B21</f>
        <v>150000</v>
      </c>
      <c r="E21" s="100">
        <f>D21</f>
        <v>150000</v>
      </c>
    </row>
    <row r="22" spans="1:5">
      <c r="A22" s="97" t="s">
        <v>30</v>
      </c>
      <c r="B22" s="101">
        <v>84.5232</v>
      </c>
      <c r="C22" s="98">
        <f>Sheet2!I7</f>
        <v>937.5</v>
      </c>
      <c r="D22" s="99">
        <f>B22*C22</f>
        <v>79240.5</v>
      </c>
      <c r="E22" s="100">
        <f>D22</f>
        <v>79240.5</v>
      </c>
    </row>
    <row r="23" spans="1:5">
      <c r="A23" s="97" t="s">
        <v>31</v>
      </c>
      <c r="B23" s="102">
        <v>0</v>
      </c>
      <c r="C23" s="102">
        <v>0</v>
      </c>
      <c r="D23" s="99">
        <f t="shared" ref="D23:D29" si="0">B23*C23</f>
        <v>0</v>
      </c>
      <c r="E23" s="100">
        <f t="shared" ref="E23:E29" si="1">D23</f>
        <v>0</v>
      </c>
    </row>
    <row r="24" spans="1:5">
      <c r="A24" s="97" t="s">
        <v>32</v>
      </c>
      <c r="B24" s="102">
        <v>0</v>
      </c>
      <c r="C24" s="102">
        <v>0</v>
      </c>
      <c r="D24" s="99">
        <f t="shared" si="0"/>
        <v>0</v>
      </c>
      <c r="E24" s="100">
        <f t="shared" si="1"/>
        <v>0</v>
      </c>
    </row>
    <row r="25" spans="1:5">
      <c r="A25" s="97" t="s">
        <v>33</v>
      </c>
      <c r="B25" s="102">
        <v>0</v>
      </c>
      <c r="C25" s="102">
        <v>0</v>
      </c>
      <c r="D25" s="99">
        <f t="shared" si="0"/>
        <v>0</v>
      </c>
      <c r="E25" s="100">
        <f t="shared" si="1"/>
        <v>0</v>
      </c>
    </row>
    <row r="26" spans="1:5">
      <c r="A26" s="97" t="s">
        <v>51</v>
      </c>
      <c r="B26" s="102">
        <v>0</v>
      </c>
      <c r="C26" s="102">
        <v>0</v>
      </c>
      <c r="D26" s="99">
        <f t="shared" si="0"/>
        <v>0</v>
      </c>
      <c r="E26" s="100">
        <f t="shared" si="1"/>
        <v>0</v>
      </c>
    </row>
    <row r="27" spans="1:5">
      <c r="A27" s="97" t="s">
        <v>34</v>
      </c>
      <c r="B27" s="102">
        <v>0</v>
      </c>
      <c r="C27" s="102">
        <v>0</v>
      </c>
      <c r="D27" s="99">
        <f t="shared" si="0"/>
        <v>0</v>
      </c>
      <c r="E27" s="100">
        <f t="shared" si="1"/>
        <v>0</v>
      </c>
    </row>
    <row r="28" spans="1:5">
      <c r="A28" s="97" t="s">
        <v>35</v>
      </c>
      <c r="B28" s="102">
        <v>0</v>
      </c>
      <c r="C28" s="102">
        <v>0</v>
      </c>
      <c r="D28" s="99">
        <f t="shared" si="0"/>
        <v>0</v>
      </c>
      <c r="E28" s="100">
        <f t="shared" si="1"/>
        <v>0</v>
      </c>
    </row>
    <row r="29" spans="1:5">
      <c r="A29" s="97" t="s">
        <v>36</v>
      </c>
      <c r="B29" s="102">
        <v>0</v>
      </c>
      <c r="C29" s="102">
        <v>0</v>
      </c>
      <c r="D29" s="99">
        <f t="shared" si="0"/>
        <v>0</v>
      </c>
      <c r="E29" s="100">
        <f t="shared" si="1"/>
        <v>0</v>
      </c>
    </row>
    <row r="30" spans="1:5">
      <c r="A30" s="97">
        <v>0</v>
      </c>
      <c r="B30" s="103"/>
      <c r="C30" s="104"/>
      <c r="D30" s="99" t="s">
        <v>37</v>
      </c>
      <c r="E30" s="100">
        <v>0</v>
      </c>
    </row>
    <row r="31" spans="1:5">
      <c r="A31" s="97">
        <v>0</v>
      </c>
      <c r="B31" s="103"/>
      <c r="C31" s="104"/>
      <c r="D31" s="99" t="s">
        <v>37</v>
      </c>
      <c r="E31" s="100">
        <v>0</v>
      </c>
    </row>
    <row r="32" spans="1:5">
      <c r="A32" s="97">
        <v>0</v>
      </c>
      <c r="B32" s="103"/>
      <c r="C32" s="104"/>
      <c r="D32" s="99" t="s">
        <v>37</v>
      </c>
      <c r="E32" s="100">
        <v>0</v>
      </c>
    </row>
    <row r="33" spans="1:5">
      <c r="A33" s="97">
        <v>0</v>
      </c>
      <c r="B33" s="103"/>
      <c r="C33" s="104"/>
      <c r="D33" s="99" t="s">
        <v>37</v>
      </c>
      <c r="E33" s="100">
        <v>0</v>
      </c>
    </row>
    <row r="34" spans="1:5">
      <c r="A34" s="105"/>
      <c r="B34" s="106"/>
      <c r="C34" s="107" t="s">
        <v>38</v>
      </c>
      <c r="D34" s="108">
        <f t="shared" ref="D34:E34" si="2">SUM(D21:D33)</f>
        <v>229240.5</v>
      </c>
      <c r="E34" s="109">
        <f t="shared" si="2"/>
        <v>229240.5</v>
      </c>
    </row>
    <row r="35" spans="1:5">
      <c r="A35" s="92"/>
      <c r="B35" s="75"/>
      <c r="C35" s="75"/>
      <c r="D35" s="110"/>
      <c r="E35" s="110"/>
    </row>
    <row r="36" spans="1:5">
      <c r="A36" s="93" t="s">
        <v>39</v>
      </c>
      <c r="B36" s="94"/>
      <c r="C36" s="94"/>
      <c r="D36" s="95" t="s">
        <v>27</v>
      </c>
      <c r="E36" s="111" t="s">
        <v>28</v>
      </c>
    </row>
    <row r="37" spans="1:5">
      <c r="A37" s="97" t="s">
        <v>40</v>
      </c>
      <c r="B37" s="103"/>
      <c r="C37" s="103"/>
      <c r="D37" s="112">
        <v>60840.5</v>
      </c>
      <c r="E37" s="113">
        <f>D37</f>
        <v>60840.5</v>
      </c>
    </row>
    <row r="38" spans="1:5">
      <c r="A38" s="97" t="s">
        <v>41</v>
      </c>
      <c r="B38" s="103"/>
      <c r="C38" s="103"/>
      <c r="D38" s="112">
        <v>1700</v>
      </c>
      <c r="E38" s="113">
        <f t="shared" ref="E38:E46" si="3">D38</f>
        <v>1700</v>
      </c>
    </row>
    <row r="39" spans="1:5">
      <c r="A39" s="97" t="s">
        <v>42</v>
      </c>
      <c r="B39" s="103"/>
      <c r="C39" s="103"/>
      <c r="D39" s="112">
        <v>0</v>
      </c>
      <c r="E39" s="113">
        <f t="shared" si="3"/>
        <v>0</v>
      </c>
    </row>
    <row r="40" spans="1:5">
      <c r="A40" s="97" t="s">
        <v>43</v>
      </c>
      <c r="B40" s="103"/>
      <c r="C40" s="103"/>
      <c r="D40" s="112">
        <v>200</v>
      </c>
      <c r="E40" s="113">
        <f t="shared" si="3"/>
        <v>200</v>
      </c>
    </row>
    <row r="41" spans="1:5">
      <c r="A41" s="97" t="s">
        <v>44</v>
      </c>
      <c r="B41" s="103"/>
      <c r="C41" s="103"/>
      <c r="D41" s="112">
        <v>0</v>
      </c>
      <c r="E41" s="113">
        <f t="shared" si="3"/>
        <v>0</v>
      </c>
    </row>
    <row r="42" spans="1:5">
      <c r="A42" s="97">
        <v>0</v>
      </c>
      <c r="B42" s="103"/>
      <c r="C42" s="103"/>
      <c r="D42" s="112" t="s">
        <v>37</v>
      </c>
      <c r="E42" s="113" t="str">
        <f t="shared" si="3"/>
        <v/>
      </c>
    </row>
    <row r="43" spans="1:5">
      <c r="A43" s="97">
        <v>0</v>
      </c>
      <c r="B43" s="103"/>
      <c r="C43" s="103"/>
      <c r="D43" s="112" t="s">
        <v>37</v>
      </c>
      <c r="E43" s="113" t="str">
        <f t="shared" si="3"/>
        <v/>
      </c>
    </row>
    <row r="44" spans="1:5">
      <c r="A44" s="97">
        <v>0</v>
      </c>
      <c r="B44" s="103"/>
      <c r="C44" s="103"/>
      <c r="D44" s="112" t="s">
        <v>37</v>
      </c>
      <c r="E44" s="113" t="str">
        <f t="shared" si="3"/>
        <v/>
      </c>
    </row>
    <row r="45" spans="1:5">
      <c r="A45" s="97">
        <v>0</v>
      </c>
      <c r="B45" s="103"/>
      <c r="C45" s="103"/>
      <c r="D45" s="112" t="s">
        <v>37</v>
      </c>
      <c r="E45" s="113" t="str">
        <f t="shared" si="3"/>
        <v/>
      </c>
    </row>
    <row r="46" spans="1:5">
      <c r="A46" s="97">
        <v>0</v>
      </c>
      <c r="B46" s="103"/>
      <c r="C46" s="103"/>
      <c r="D46" s="114" t="s">
        <v>37</v>
      </c>
      <c r="E46" s="115" t="str">
        <f t="shared" si="3"/>
        <v/>
      </c>
    </row>
    <row r="47" spans="1:5">
      <c r="A47" s="105"/>
      <c r="B47" s="116"/>
      <c r="C47" s="117" t="s">
        <v>45</v>
      </c>
      <c r="D47" s="118">
        <f>SUM(D37:D46)</f>
        <v>62740.5</v>
      </c>
      <c r="E47" s="119">
        <f t="shared" ref="E47" si="4">SUM(E37:E46)</f>
        <v>62740.5</v>
      </c>
    </row>
    <row r="48" ht="15.15" spans="1:5">
      <c r="A48" s="92"/>
      <c r="B48" s="120"/>
      <c r="C48" s="120"/>
      <c r="D48" s="121"/>
      <c r="E48" s="121"/>
    </row>
    <row r="49" ht="15.15" spans="1:5">
      <c r="A49" s="92"/>
      <c r="B49" s="120"/>
      <c r="C49" s="122" t="s">
        <v>46</v>
      </c>
      <c r="D49" s="123">
        <f t="shared" ref="D49:E49" si="5">D34-D47</f>
        <v>166500</v>
      </c>
      <c r="E49" s="124">
        <f t="shared" si="5"/>
        <v>166500</v>
      </c>
    </row>
    <row r="50" spans="1:5">
      <c r="A50" s="92"/>
      <c r="B50" s="75"/>
      <c r="C50" s="75"/>
      <c r="D50" s="125"/>
      <c r="E50" s="125"/>
    </row>
    <row r="51" spans="1:5">
      <c r="A51" s="126" t="s">
        <v>47</v>
      </c>
      <c r="B51" s="127"/>
      <c r="C51" s="127"/>
      <c r="D51" s="127"/>
      <c r="E51" s="127"/>
    </row>
    <row r="52" spans="1:5">
      <c r="A52" s="128" t="s">
        <v>48</v>
      </c>
      <c r="B52" s="127"/>
      <c r="C52" s="127"/>
      <c r="D52" s="127"/>
      <c r="E52" s="127"/>
    </row>
    <row r="59" s="64" customFormat="1" spans="1:5">
      <c r="A59" s="64" t="s">
        <v>49</v>
      </c>
      <c r="E59" s="64" t="s">
        <v>50</v>
      </c>
    </row>
    <row r="63" ht="15.15" spans="1:5">
      <c r="A63" s="129"/>
      <c r="B63" s="129"/>
      <c r="E63" s="129"/>
    </row>
  </sheetData>
  <mergeCells count="2">
    <mergeCell ref="A51:E51"/>
    <mergeCell ref="A52:E52"/>
  </mergeCells>
  <conditionalFormatting sqref="B34">
    <cfRule type="containsText" dxfId="0" priority="1" operator="between" text="Vertex42">
      <formula>NOT(ISERROR(SEARCH("Vertex42",B34)))</formula>
    </cfRule>
  </conditionalFormatting>
  <dataValidations count="2">
    <dataValidation type="list" allowBlank="1" sqref="D14">
      <formula1>"Weekly,Bi-Weekly,Monthly"</formula1>
    </dataValidation>
    <dataValidation type="list" allowBlank="1" sqref="D18">
      <formula1>"Check, Cash, BACS, ACH, EFT"</formula1>
    </dataValidation>
  </dataValidations>
  <pageMargins left="0.7" right="0.7" top="0.75" bottom="0.75" header="0.3" footer="0.3"/>
  <pageSetup paperSize="1" scale="58" orientation="portrait"/>
  <headerFooter>
    <oddFooter>&amp;L&amp;"Trebuchet MS,Regular"&amp;10Smart solutions driven by an ethic of service</oddFooter>
  </headerFooter>
  <colBreaks count="1" manualBreakCount="1">
    <brk id="11" max="5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E63"/>
  <sheetViews>
    <sheetView view="pageBreakPreview" zoomScaleNormal="100" topLeftCell="A10" workbookViewId="0">
      <selection activeCell="B22" sqref="B22"/>
    </sheetView>
  </sheetViews>
  <sheetFormatPr defaultColWidth="14.8148148148148" defaultRowHeight="14.4" outlineLevelCol="4"/>
  <cols>
    <col min="1" max="1" width="18.2685185185185" style="65" customWidth="1"/>
    <col min="2" max="2" width="6" style="65" customWidth="1"/>
    <col min="3" max="3" width="15.9074074074074" style="65" customWidth="1"/>
    <col min="4" max="4" width="14.4537037037037" style="65" customWidth="1"/>
    <col min="5" max="5" width="14.7222222222222" style="65" customWidth="1"/>
    <col min="6" max="16384" width="14.8148148148148" style="65"/>
  </cols>
  <sheetData>
    <row r="8" ht="17" customHeight="1" spans="1:5">
      <c r="A8" s="66" t="s">
        <v>0</v>
      </c>
      <c r="B8" s="67"/>
      <c r="C8" s="68"/>
      <c r="D8" s="69"/>
      <c r="E8" s="70" t="s">
        <v>1</v>
      </c>
    </row>
    <row r="9" ht="17" customHeight="1" spans="1:5">
      <c r="A9" s="71" t="s">
        <v>2</v>
      </c>
      <c r="B9" s="67"/>
      <c r="C9" s="68"/>
      <c r="D9" s="69"/>
      <c r="E9" s="70"/>
    </row>
    <row r="10" spans="1:5">
      <c r="A10" s="71" t="s">
        <v>3</v>
      </c>
      <c r="B10" s="72"/>
      <c r="C10" s="73"/>
      <c r="D10" s="73"/>
      <c r="E10" s="73"/>
    </row>
    <row r="11" spans="1:5">
      <c r="A11" s="71" t="s">
        <v>4</v>
      </c>
      <c r="B11" s="72"/>
      <c r="C11" s="73"/>
      <c r="D11" s="73"/>
      <c r="E11" s="73"/>
    </row>
    <row r="12" spans="1:5">
      <c r="A12" s="74"/>
      <c r="B12" s="75"/>
      <c r="C12" s="76"/>
      <c r="D12" s="76"/>
      <c r="E12" s="76"/>
    </row>
    <row r="13" spans="1:5">
      <c r="A13" s="77" t="s">
        <v>5</v>
      </c>
      <c r="B13" s="75"/>
      <c r="C13" s="78" t="s">
        <v>6</v>
      </c>
      <c r="D13" s="79" t="s">
        <v>7</v>
      </c>
      <c r="E13" s="80" t="s">
        <v>8</v>
      </c>
    </row>
    <row r="14" spans="1:5">
      <c r="A14" s="81" t="s">
        <v>9</v>
      </c>
      <c r="B14" s="75"/>
      <c r="C14" s="82">
        <f>Sheet2!A6</f>
        <v>44530</v>
      </c>
      <c r="D14" s="83" t="s">
        <v>10</v>
      </c>
      <c r="E14" s="84">
        <v>44501</v>
      </c>
    </row>
    <row r="15" spans="1:5">
      <c r="A15" s="85" t="s">
        <v>11</v>
      </c>
      <c r="B15" s="86" t="s">
        <v>12</v>
      </c>
      <c r="C15" s="78" t="s">
        <v>13</v>
      </c>
      <c r="D15" s="79" t="s">
        <v>14</v>
      </c>
      <c r="E15" s="80" t="s">
        <v>15</v>
      </c>
    </row>
    <row r="16" spans="1:5">
      <c r="A16" s="85" t="s">
        <v>16</v>
      </c>
      <c r="B16" s="75"/>
      <c r="C16" s="133" t="s">
        <v>17</v>
      </c>
      <c r="D16" s="134" t="s">
        <v>18</v>
      </c>
      <c r="E16" s="89" t="s">
        <v>19</v>
      </c>
    </row>
    <row r="17" spans="1:5">
      <c r="A17" s="85" t="s">
        <v>20</v>
      </c>
      <c r="B17" s="75"/>
      <c r="C17" s="90"/>
      <c r="D17" s="90"/>
      <c r="E17" s="90"/>
    </row>
    <row r="18" spans="1:5">
      <c r="A18" s="85" t="s">
        <v>21</v>
      </c>
      <c r="B18" s="75"/>
      <c r="C18" s="90" t="s">
        <v>22</v>
      </c>
      <c r="D18" s="91" t="s">
        <v>23</v>
      </c>
      <c r="E18" s="90"/>
    </row>
    <row r="19" spans="1:5">
      <c r="A19" s="92"/>
      <c r="B19" s="75"/>
      <c r="C19" s="90"/>
      <c r="D19" s="90"/>
      <c r="E19" s="90"/>
    </row>
    <row r="20" ht="26.4" spans="1:5">
      <c r="A20" s="93" t="s">
        <v>24</v>
      </c>
      <c r="B20" s="94" t="s">
        <v>25</v>
      </c>
      <c r="C20" s="94" t="s">
        <v>26</v>
      </c>
      <c r="D20" s="95" t="s">
        <v>27</v>
      </c>
      <c r="E20" s="96" t="s">
        <v>28</v>
      </c>
    </row>
    <row r="21" spans="1:5">
      <c r="A21" s="97" t="s">
        <v>29</v>
      </c>
      <c r="B21" s="98">
        <v>160</v>
      </c>
      <c r="C21" s="98">
        <v>937.5</v>
      </c>
      <c r="D21" s="99">
        <v>150000</v>
      </c>
      <c r="E21" s="100">
        <v>150000</v>
      </c>
    </row>
    <row r="22" spans="1:5">
      <c r="A22" s="97" t="s">
        <v>30</v>
      </c>
      <c r="B22" s="101">
        <f>Sheet2!H6</f>
        <v>74.618432</v>
      </c>
      <c r="C22" s="98">
        <v>937.5</v>
      </c>
      <c r="D22" s="99">
        <v>79968.75</v>
      </c>
      <c r="E22" s="100">
        <v>79968.75</v>
      </c>
    </row>
    <row r="23" spans="1:5">
      <c r="A23" s="97" t="s">
        <v>31</v>
      </c>
      <c r="B23" s="102">
        <v>0</v>
      </c>
      <c r="C23" s="102">
        <v>0</v>
      </c>
      <c r="D23" s="99">
        <v>0</v>
      </c>
      <c r="E23" s="100">
        <v>0</v>
      </c>
    </row>
    <row r="24" spans="1:5">
      <c r="A24" s="97" t="s">
        <v>32</v>
      </c>
      <c r="B24" s="102">
        <v>0</v>
      </c>
      <c r="C24" s="102">
        <v>0</v>
      </c>
      <c r="D24" s="99">
        <v>0</v>
      </c>
      <c r="E24" s="100">
        <v>0</v>
      </c>
    </row>
    <row r="25" spans="1:5">
      <c r="A25" s="97" t="s">
        <v>33</v>
      </c>
      <c r="B25" s="102">
        <v>0</v>
      </c>
      <c r="C25" s="102">
        <v>0</v>
      </c>
      <c r="D25" s="99">
        <v>0</v>
      </c>
      <c r="E25" s="100">
        <v>0</v>
      </c>
    </row>
    <row r="26" spans="1:5">
      <c r="A26" s="97" t="s">
        <v>29</v>
      </c>
      <c r="B26" s="102">
        <v>0</v>
      </c>
      <c r="C26" s="102">
        <v>0</v>
      </c>
      <c r="D26" s="99">
        <v>0</v>
      </c>
      <c r="E26" s="100">
        <v>0</v>
      </c>
    </row>
    <row r="27" spans="1:5">
      <c r="A27" s="97" t="s">
        <v>34</v>
      </c>
      <c r="B27" s="102">
        <v>0</v>
      </c>
      <c r="C27" s="102">
        <v>0</v>
      </c>
      <c r="D27" s="99">
        <v>0</v>
      </c>
      <c r="E27" s="100">
        <v>0</v>
      </c>
    </row>
    <row r="28" spans="1:5">
      <c r="A28" s="97" t="s">
        <v>35</v>
      </c>
      <c r="B28" s="102">
        <v>0</v>
      </c>
      <c r="C28" s="102">
        <v>0</v>
      </c>
      <c r="D28" s="99">
        <v>0</v>
      </c>
      <c r="E28" s="100">
        <v>0</v>
      </c>
    </row>
    <row r="29" spans="1:5">
      <c r="A29" s="97" t="s">
        <v>36</v>
      </c>
      <c r="B29" s="102">
        <v>0</v>
      </c>
      <c r="C29" s="102">
        <v>0</v>
      </c>
      <c r="D29" s="99">
        <v>0</v>
      </c>
      <c r="E29" s="100">
        <v>0</v>
      </c>
    </row>
    <row r="30" spans="1:5">
      <c r="A30" s="97">
        <v>0</v>
      </c>
      <c r="B30" s="103"/>
      <c r="C30" s="104"/>
      <c r="D30" s="99" t="s">
        <v>37</v>
      </c>
      <c r="E30" s="100">
        <v>0</v>
      </c>
    </row>
    <row r="31" spans="1:5">
      <c r="A31" s="97">
        <v>0</v>
      </c>
      <c r="B31" s="103"/>
      <c r="C31" s="104"/>
      <c r="D31" s="99" t="s">
        <v>37</v>
      </c>
      <c r="E31" s="100">
        <v>0</v>
      </c>
    </row>
    <row r="32" spans="1:5">
      <c r="A32" s="97">
        <v>0</v>
      </c>
      <c r="B32" s="103"/>
      <c r="C32" s="104"/>
      <c r="D32" s="99" t="s">
        <v>37</v>
      </c>
      <c r="E32" s="100">
        <v>0</v>
      </c>
    </row>
    <row r="33" spans="1:5">
      <c r="A33" s="97">
        <v>0</v>
      </c>
      <c r="B33" s="103"/>
      <c r="C33" s="104"/>
      <c r="D33" s="99" t="s">
        <v>37</v>
      </c>
      <c r="E33" s="100">
        <v>0</v>
      </c>
    </row>
    <row r="34" spans="1:5">
      <c r="A34" s="105"/>
      <c r="B34" s="106"/>
      <c r="C34" s="107" t="s">
        <v>38</v>
      </c>
      <c r="D34" s="108">
        <f t="shared" ref="D34:E34" si="0">SUM(D21:D33)</f>
        <v>229968.75</v>
      </c>
      <c r="E34" s="109">
        <f t="shared" si="0"/>
        <v>229968.75</v>
      </c>
    </row>
    <row r="35" spans="1:5">
      <c r="A35" s="92"/>
      <c r="B35" s="75"/>
      <c r="C35" s="75"/>
      <c r="D35" s="110"/>
      <c r="E35" s="110"/>
    </row>
    <row r="36" spans="1:5">
      <c r="A36" s="93" t="s">
        <v>39</v>
      </c>
      <c r="B36" s="94"/>
      <c r="C36" s="94"/>
      <c r="D36" s="95" t="s">
        <v>27</v>
      </c>
      <c r="E36" s="111" t="s">
        <v>28</v>
      </c>
    </row>
    <row r="37" spans="1:5">
      <c r="A37" s="97" t="s">
        <v>40</v>
      </c>
      <c r="B37" s="103"/>
      <c r="C37" s="103"/>
      <c r="D37" s="112">
        <v>61054.78</v>
      </c>
      <c r="E37" s="113">
        <v>61054.78</v>
      </c>
    </row>
    <row r="38" spans="1:5">
      <c r="A38" s="97" t="s">
        <v>41</v>
      </c>
      <c r="B38" s="103"/>
      <c r="C38" s="103"/>
      <c r="D38" s="112">
        <v>1700</v>
      </c>
      <c r="E38" s="113">
        <v>1700</v>
      </c>
    </row>
    <row r="39" spans="1:5">
      <c r="A39" s="97" t="s">
        <v>42</v>
      </c>
      <c r="B39" s="103"/>
      <c r="C39" s="103"/>
      <c r="D39" s="112">
        <v>0</v>
      </c>
      <c r="E39" s="113">
        <v>0</v>
      </c>
    </row>
    <row r="40" spans="1:5">
      <c r="A40" s="97" t="s">
        <v>43</v>
      </c>
      <c r="B40" s="103"/>
      <c r="C40" s="103"/>
      <c r="D40" s="112">
        <v>200</v>
      </c>
      <c r="E40" s="113">
        <v>200</v>
      </c>
    </row>
    <row r="41" spans="1:5">
      <c r="A41" s="97" t="s">
        <v>44</v>
      </c>
      <c r="B41" s="103"/>
      <c r="C41" s="103"/>
      <c r="D41" s="112">
        <v>0</v>
      </c>
      <c r="E41" s="113">
        <v>0</v>
      </c>
    </row>
    <row r="42" spans="1:5">
      <c r="A42" s="97">
        <v>0</v>
      </c>
      <c r="B42" s="103"/>
      <c r="C42" s="103"/>
      <c r="D42" s="112" t="s">
        <v>37</v>
      </c>
      <c r="E42" s="113">
        <v>0</v>
      </c>
    </row>
    <row r="43" spans="1:5">
      <c r="A43" s="97">
        <v>0</v>
      </c>
      <c r="B43" s="103"/>
      <c r="C43" s="103"/>
      <c r="D43" s="112" t="s">
        <v>37</v>
      </c>
      <c r="E43" s="113">
        <v>0</v>
      </c>
    </row>
    <row r="44" spans="1:5">
      <c r="A44" s="97">
        <v>0</v>
      </c>
      <c r="B44" s="103"/>
      <c r="C44" s="103"/>
      <c r="D44" s="112" t="s">
        <v>37</v>
      </c>
      <c r="E44" s="113">
        <v>0</v>
      </c>
    </row>
    <row r="45" spans="1:5">
      <c r="A45" s="97">
        <v>0</v>
      </c>
      <c r="B45" s="103"/>
      <c r="C45" s="103"/>
      <c r="D45" s="114" t="s">
        <v>37</v>
      </c>
      <c r="E45" s="115">
        <v>0</v>
      </c>
    </row>
    <row r="46" spans="1:5">
      <c r="A46" s="97">
        <v>0</v>
      </c>
      <c r="B46" s="103"/>
      <c r="C46" s="103"/>
      <c r="D46" s="114" t="s">
        <v>37</v>
      </c>
      <c r="E46" s="115">
        <v>0</v>
      </c>
    </row>
    <row r="47" spans="1:5">
      <c r="A47" s="105"/>
      <c r="B47" s="116"/>
      <c r="C47" s="117" t="s">
        <v>45</v>
      </c>
      <c r="D47" s="118">
        <f>SUM(D37:D46)</f>
        <v>62954.78</v>
      </c>
      <c r="E47" s="119">
        <f t="shared" ref="E47" si="1">SUM(E37:E46)</f>
        <v>62954.78</v>
      </c>
    </row>
    <row r="48" ht="15.15" spans="1:5">
      <c r="A48" s="92"/>
      <c r="B48" s="120"/>
      <c r="C48" s="120"/>
      <c r="D48" s="121"/>
      <c r="E48" s="121"/>
    </row>
    <row r="49" ht="15.15" spans="1:5">
      <c r="A49" s="92"/>
      <c r="B49" s="120"/>
      <c r="C49" s="122" t="s">
        <v>46</v>
      </c>
      <c r="D49" s="123">
        <f t="shared" ref="D49:E49" si="2">D34-D47</f>
        <v>167013.97</v>
      </c>
      <c r="E49" s="124">
        <f t="shared" si="2"/>
        <v>167013.97</v>
      </c>
    </row>
    <row r="50" spans="1:5">
      <c r="A50" s="92"/>
      <c r="B50" s="75"/>
      <c r="C50" s="75"/>
      <c r="D50" s="125"/>
      <c r="E50" s="125"/>
    </row>
    <row r="51" spans="1:5">
      <c r="A51" s="126" t="s">
        <v>47</v>
      </c>
      <c r="B51" s="127"/>
      <c r="C51" s="127"/>
      <c r="D51" s="127"/>
      <c r="E51" s="127"/>
    </row>
    <row r="52" spans="1:5">
      <c r="A52" s="128" t="s">
        <v>48</v>
      </c>
      <c r="B52" s="127"/>
      <c r="C52" s="127"/>
      <c r="D52" s="127"/>
      <c r="E52" s="127"/>
    </row>
    <row r="59" s="64" customFormat="1" spans="1:5">
      <c r="A59" s="64" t="s">
        <v>49</v>
      </c>
      <c r="E59" s="64" t="s">
        <v>50</v>
      </c>
    </row>
    <row r="63" ht="15.15" spans="1:5">
      <c r="A63" s="129"/>
      <c r="B63" s="129"/>
      <c r="E63" s="129"/>
    </row>
  </sheetData>
  <mergeCells count="2">
    <mergeCell ref="A51:E51"/>
    <mergeCell ref="A52:E52"/>
  </mergeCells>
  <conditionalFormatting sqref="B34">
    <cfRule type="containsText" dxfId="0" priority="2" operator="between" text="Vertex42">
      <formula>NOT(ISERROR(SEARCH("Vertex42",B34)))</formula>
    </cfRule>
  </conditionalFormatting>
  <dataValidations count="2">
    <dataValidation type="list" allowBlank="1" sqref="D14">
      <formula1>"Weekly,Bi-Weekly,Monthly"</formula1>
    </dataValidation>
    <dataValidation type="list" allowBlank="1" sqref="D18">
      <formula1>"Check, Cash, BACS, ACH, EFT"</formula1>
    </dataValidation>
  </dataValidations>
  <pageMargins left="0.7" right="0.7" top="0.75" bottom="0.75" header="0.3" footer="0.3"/>
  <pageSetup paperSize="1" scale="58" orientation="portrait"/>
  <headerFooter>
    <oddFooter>&amp;L&amp;"Trebuchet MS,Regular"&amp;10Smart solutions driven by an ethic of service</oddFooter>
  </headerFooter>
  <colBreaks count="1" manualBreakCount="1">
    <brk id="11" max="5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3"/>
  <sheetViews>
    <sheetView view="pageBreakPreview" zoomScale="60" zoomScaleNormal="100" workbookViewId="0">
      <selection activeCell="AC16" sqref="AC16"/>
    </sheetView>
  </sheetViews>
  <sheetFormatPr defaultColWidth="18.8148148148148" defaultRowHeight="13.8"/>
  <cols>
    <col min="1" max="1" width="10.9074074074074" style="1" customWidth="1"/>
    <col min="2" max="3" width="10.9074074074074" style="1" hidden="1" customWidth="1"/>
    <col min="4" max="4" width="10.0925925925926" style="1" customWidth="1"/>
    <col min="5" max="9" width="9.36111111111111" style="1" customWidth="1"/>
    <col min="10" max="10" width="9.36111111111111" style="1" customWidth="1" collapsed="1"/>
    <col min="11" max="11" width="19.8148148148148" style="1" customWidth="1"/>
    <col min="12" max="13" width="9.36111111111111" style="1" customWidth="1"/>
    <col min="14" max="19" width="9.36111111111111" style="1" hidden="1" customWidth="1"/>
    <col min="20" max="20" width="15.4537037037037" style="1" customWidth="1"/>
    <col min="21" max="24" width="9.62962962962963" style="1" customWidth="1"/>
    <col min="25" max="27" width="9.62962962962963" style="1" hidden="1" customWidth="1"/>
    <col min="28" max="32" width="9.62962962962963" style="1" customWidth="1"/>
    <col min="33" max="33" width="16.8148148148148" style="1" customWidth="1"/>
    <col min="34" max="34" width="9.62962962962963" style="1" customWidth="1"/>
    <col min="35" max="37" width="9.62962962962963" style="1" hidden="1" customWidth="1"/>
    <col min="38" max="38" width="15.6296296296296" style="1" customWidth="1"/>
    <col min="39" max="39" width="35" style="2" customWidth="1"/>
    <col min="40" max="40" width="17.4537037037037" style="1" customWidth="1"/>
    <col min="41" max="16384" width="18.8148148148148" style="1"/>
  </cols>
  <sheetData>
    <row r="1" ht="30" customHeight="1" spans="1:40">
      <c r="A1" s="3" t="s">
        <v>52</v>
      </c>
      <c r="B1" s="3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0"/>
      <c r="AL1" s="4"/>
      <c r="AM1" s="41" t="str">
        <f>HYPERLINK("https://www.vertex42.com/","by Vertex42.com")</f>
        <v>by Vertex42.com</v>
      </c>
      <c r="AN1" s="42"/>
    </row>
    <row r="2" ht="22.5" customHeight="1" spans="4:40">
      <c r="D2" s="5" t="s">
        <v>53</v>
      </c>
      <c r="E2" s="6" t="str">
        <f>'March 2022'!A14</f>
        <v>Gideon Mwangi Kabaru</v>
      </c>
      <c r="G2" s="5"/>
      <c r="I2" s="8"/>
      <c r="K2" s="8"/>
      <c r="L2" s="8"/>
      <c r="M2" s="32" t="s">
        <v>54</v>
      </c>
      <c r="N2" s="8"/>
      <c r="O2" s="8"/>
      <c r="P2" s="8"/>
      <c r="Q2" s="8"/>
      <c r="R2" s="8"/>
      <c r="S2" s="8"/>
      <c r="T2" s="33" t="s">
        <v>55</v>
      </c>
      <c r="U2" s="34"/>
      <c r="V2" s="4"/>
      <c r="W2" s="4"/>
      <c r="X2" s="32" t="s">
        <v>54</v>
      </c>
      <c r="Y2" s="4"/>
      <c r="Z2" s="4"/>
      <c r="AA2" s="4"/>
      <c r="AB2" s="33" t="s">
        <v>55</v>
      </c>
      <c r="AC2" s="4"/>
      <c r="AD2" s="4"/>
      <c r="AE2" s="4"/>
      <c r="AF2" s="4"/>
      <c r="AG2" s="4"/>
      <c r="AH2" s="32" t="s">
        <v>54</v>
      </c>
      <c r="AI2" s="4"/>
      <c r="AJ2" s="4"/>
      <c r="AK2" s="4"/>
      <c r="AL2" s="43" t="s">
        <v>55</v>
      </c>
      <c r="AM2" s="44" t="str">
        <f>HYPERLINK("https://www.vertex42.com/ExcelTemplates/payslip-template.html","Payslip Template")</f>
        <v>Payslip Template</v>
      </c>
      <c r="AN2" s="45"/>
    </row>
    <row r="3" ht="14.4" spans="1:40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6" t="s">
        <v>56</v>
      </c>
      <c r="AN3" s="45"/>
    </row>
    <row r="4" ht="19.5" customHeight="1" spans="1:40">
      <c r="A4" s="9" t="s">
        <v>57</v>
      </c>
      <c r="B4" s="9"/>
      <c r="C4" s="9"/>
      <c r="D4" s="10"/>
      <c r="E4" s="9" t="s">
        <v>58</v>
      </c>
      <c r="F4" s="9"/>
      <c r="G4" s="9"/>
      <c r="H4" s="9" t="s">
        <v>59</v>
      </c>
      <c r="I4" s="9"/>
      <c r="J4" s="9"/>
      <c r="K4" s="9" t="s">
        <v>60</v>
      </c>
      <c r="L4" s="9"/>
      <c r="M4" s="9"/>
      <c r="N4" s="9" t="s">
        <v>61</v>
      </c>
      <c r="O4" s="9"/>
      <c r="P4" s="9"/>
      <c r="Q4" s="9" t="s">
        <v>62</v>
      </c>
      <c r="R4" s="9"/>
      <c r="S4" s="9"/>
      <c r="T4" s="9" t="s">
        <v>63</v>
      </c>
      <c r="U4" s="35"/>
      <c r="V4" s="35"/>
      <c r="W4" s="35"/>
      <c r="X4" s="35"/>
      <c r="Y4" s="35"/>
      <c r="Z4" s="35"/>
      <c r="AA4" s="35"/>
      <c r="AB4" s="9" t="s">
        <v>39</v>
      </c>
      <c r="AC4" s="35"/>
      <c r="AD4" s="35"/>
      <c r="AE4" s="35"/>
      <c r="AF4" s="35"/>
      <c r="AG4" s="35"/>
      <c r="AH4" s="35"/>
      <c r="AI4" s="35"/>
      <c r="AJ4" s="35"/>
      <c r="AK4" s="35"/>
      <c r="AL4" s="47"/>
      <c r="AM4" s="1"/>
      <c r="AN4" s="48"/>
    </row>
    <row r="5" ht="38.25" customHeight="1" spans="1:40">
      <c r="A5" s="11" t="s">
        <v>6</v>
      </c>
      <c r="B5" s="11" t="s">
        <v>64</v>
      </c>
      <c r="C5" s="11" t="s">
        <v>65</v>
      </c>
      <c r="D5" s="11" t="s">
        <v>8</v>
      </c>
      <c r="E5" s="12" t="s">
        <v>66</v>
      </c>
      <c r="F5" s="12" t="s">
        <v>67</v>
      </c>
      <c r="G5" s="12" t="s">
        <v>29</v>
      </c>
      <c r="H5" s="13" t="s">
        <v>68</v>
      </c>
      <c r="I5" s="13" t="s">
        <v>69</v>
      </c>
      <c r="J5" s="13" t="s">
        <v>30</v>
      </c>
      <c r="K5" s="12" t="s">
        <v>70</v>
      </c>
      <c r="L5" s="12" t="s">
        <v>71</v>
      </c>
      <c r="M5" s="12" t="s">
        <v>31</v>
      </c>
      <c r="N5" s="13" t="s">
        <v>72</v>
      </c>
      <c r="O5" s="13" t="s">
        <v>73</v>
      </c>
      <c r="P5" s="13" t="s">
        <v>32</v>
      </c>
      <c r="Q5" s="12" t="s">
        <v>74</v>
      </c>
      <c r="R5" s="12" t="s">
        <v>75</v>
      </c>
      <c r="S5" s="12" t="s">
        <v>33</v>
      </c>
      <c r="T5" s="13" t="s">
        <v>76</v>
      </c>
      <c r="U5" s="13" t="s">
        <v>34</v>
      </c>
      <c r="V5" s="13" t="s">
        <v>35</v>
      </c>
      <c r="W5" s="13" t="s">
        <v>36</v>
      </c>
      <c r="X5" s="13"/>
      <c r="Y5" s="13"/>
      <c r="Z5" s="13"/>
      <c r="AA5" s="13"/>
      <c r="AB5" s="37" t="s">
        <v>40</v>
      </c>
      <c r="AC5" s="37" t="s">
        <v>41</v>
      </c>
      <c r="AD5" s="37" t="s">
        <v>42</v>
      </c>
      <c r="AE5" s="37" t="s">
        <v>43</v>
      </c>
      <c r="AF5" s="37" t="s">
        <v>44</v>
      </c>
      <c r="AG5" s="37" t="s">
        <v>77</v>
      </c>
      <c r="AH5" s="37" t="s">
        <v>78</v>
      </c>
      <c r="AI5" s="37"/>
      <c r="AJ5" s="37"/>
      <c r="AK5" s="37"/>
      <c r="AL5" s="49"/>
      <c r="AM5" s="50" t="s">
        <v>79</v>
      </c>
      <c r="AN5" s="51"/>
    </row>
    <row r="6" ht="19.5" customHeight="1" spans="1:40">
      <c r="A6" s="14">
        <v>44530</v>
      </c>
      <c r="B6" s="14"/>
      <c r="C6" s="14"/>
      <c r="D6" s="15">
        <v>44501</v>
      </c>
      <c r="E6" s="16">
        <v>160</v>
      </c>
      <c r="F6" s="17">
        <v>937.5</v>
      </c>
      <c r="G6" s="18">
        <f>E6*F6</f>
        <v>150000</v>
      </c>
      <c r="H6" s="19">
        <v>74.618432</v>
      </c>
      <c r="I6" s="17">
        <f>F6</f>
        <v>937.5</v>
      </c>
      <c r="J6" s="18">
        <f>H6*I6</f>
        <v>69954.78</v>
      </c>
      <c r="K6" s="19">
        <v>0</v>
      </c>
      <c r="L6" s="17">
        <v>0</v>
      </c>
      <c r="M6" s="18">
        <f>K6*L6</f>
        <v>0</v>
      </c>
      <c r="N6" s="19"/>
      <c r="O6" s="17"/>
      <c r="P6" s="18">
        <f>N6*O6</f>
        <v>0</v>
      </c>
      <c r="Q6" s="19"/>
      <c r="R6" s="17"/>
      <c r="S6" s="18">
        <f>Q6*R6</f>
        <v>0</v>
      </c>
      <c r="T6" s="19">
        <v>0</v>
      </c>
      <c r="U6" s="19">
        <v>0</v>
      </c>
      <c r="V6" s="19">
        <v>0</v>
      </c>
      <c r="W6" s="19">
        <v>0</v>
      </c>
      <c r="X6" s="19"/>
      <c r="Y6" s="19"/>
      <c r="Z6" s="19"/>
      <c r="AA6" s="19"/>
      <c r="AB6" s="19">
        <v>61054.78</v>
      </c>
      <c r="AC6" s="19">
        <v>1700</v>
      </c>
      <c r="AD6" s="19">
        <v>0</v>
      </c>
      <c r="AE6" s="19">
        <v>200</v>
      </c>
      <c r="AF6" s="19">
        <v>0</v>
      </c>
      <c r="AG6" s="19">
        <v>0</v>
      </c>
      <c r="AH6" s="19">
        <f>G6+J6+M6+T6+U6+V6+W6+AG6-AB6-AC6-AD6-AE6-AF6</f>
        <v>157000</v>
      </c>
      <c r="AI6" s="19"/>
      <c r="AJ6" s="19"/>
      <c r="AK6" s="52"/>
      <c r="AL6" s="53"/>
      <c r="AM6" s="54"/>
      <c r="AN6" s="55"/>
    </row>
    <row r="7" ht="19.5" customHeight="1" spans="1:40">
      <c r="A7" s="14">
        <v>44561</v>
      </c>
      <c r="B7" s="14"/>
      <c r="C7" s="14"/>
      <c r="D7" s="15">
        <v>44531</v>
      </c>
      <c r="E7" s="16">
        <v>160</v>
      </c>
      <c r="F7" s="17">
        <v>937.5</v>
      </c>
      <c r="G7" s="18">
        <f>E7*F7</f>
        <v>150000</v>
      </c>
      <c r="H7" s="19">
        <v>84.5232</v>
      </c>
      <c r="I7" s="17">
        <f>F7</f>
        <v>937.5</v>
      </c>
      <c r="J7" s="18">
        <f>H7*I7</f>
        <v>79240.5</v>
      </c>
      <c r="K7" s="19">
        <v>0</v>
      </c>
      <c r="L7" s="17">
        <v>0</v>
      </c>
      <c r="M7" s="18">
        <f>K7*L7</f>
        <v>0</v>
      </c>
      <c r="N7" s="19"/>
      <c r="O7" s="17"/>
      <c r="P7" s="18">
        <f>N7*O7</f>
        <v>0</v>
      </c>
      <c r="Q7" s="19"/>
      <c r="R7" s="17"/>
      <c r="S7" s="18">
        <f>Q7*R7</f>
        <v>0</v>
      </c>
      <c r="T7" s="19">
        <v>0</v>
      </c>
      <c r="U7" s="19">
        <v>0</v>
      </c>
      <c r="V7" s="19">
        <v>0</v>
      </c>
      <c r="W7" s="19">
        <v>0</v>
      </c>
      <c r="X7" s="19"/>
      <c r="Y7" s="19"/>
      <c r="Z7" s="19"/>
      <c r="AA7" s="19"/>
      <c r="AB7" s="19">
        <v>60840.5</v>
      </c>
      <c r="AC7" s="19">
        <v>1700</v>
      </c>
      <c r="AD7" s="19">
        <v>0</v>
      </c>
      <c r="AE7" s="19">
        <v>200</v>
      </c>
      <c r="AF7" s="19">
        <v>0</v>
      </c>
      <c r="AG7" s="19">
        <v>53420</v>
      </c>
      <c r="AH7" s="19">
        <f t="shared" ref="AH7:AH11" si="0">G7+J7+M7+T7+U7+V7+W7+AG7-AB7-AC7-AD7-AE7-AF7</f>
        <v>219920</v>
      </c>
      <c r="AI7" s="19"/>
      <c r="AJ7" s="19"/>
      <c r="AK7" s="52"/>
      <c r="AL7" s="56"/>
      <c r="AM7" s="54"/>
      <c r="AN7" s="55"/>
    </row>
    <row r="8" ht="19.5" customHeight="1" spans="1:40">
      <c r="A8" s="14">
        <v>44592</v>
      </c>
      <c r="B8" s="14"/>
      <c r="C8" s="14"/>
      <c r="D8" s="15">
        <v>44562</v>
      </c>
      <c r="E8" s="16">
        <v>160</v>
      </c>
      <c r="F8" s="17">
        <v>937.5</v>
      </c>
      <c r="G8" s="18">
        <f>E8*F8</f>
        <v>150000</v>
      </c>
      <c r="H8" s="19">
        <v>74.335008</v>
      </c>
      <c r="I8" s="17">
        <f>F8</f>
        <v>937.5</v>
      </c>
      <c r="J8" s="18">
        <f>H8*I8</f>
        <v>69689.07</v>
      </c>
      <c r="K8" s="19">
        <v>0</v>
      </c>
      <c r="L8" s="17">
        <v>0</v>
      </c>
      <c r="M8" s="18">
        <f>K8*L8</f>
        <v>0</v>
      </c>
      <c r="N8" s="19"/>
      <c r="O8" s="17"/>
      <c r="P8" s="18">
        <f>N8*O8</f>
        <v>0</v>
      </c>
      <c r="Q8" s="19"/>
      <c r="R8" s="17"/>
      <c r="S8" s="18">
        <f>Q8*R8</f>
        <v>0</v>
      </c>
      <c r="T8" s="19">
        <v>0</v>
      </c>
      <c r="U8" s="19">
        <v>0</v>
      </c>
      <c r="V8" s="19">
        <v>0</v>
      </c>
      <c r="W8" s="19">
        <v>0</v>
      </c>
      <c r="X8" s="19"/>
      <c r="Y8" s="19"/>
      <c r="Z8" s="19"/>
      <c r="AA8" s="19"/>
      <c r="AB8" s="19">
        <v>57975.07</v>
      </c>
      <c r="AC8" s="19">
        <v>1700</v>
      </c>
      <c r="AD8" s="19">
        <v>0</v>
      </c>
      <c r="AE8" s="19">
        <v>200</v>
      </c>
      <c r="AF8" s="19">
        <v>0</v>
      </c>
      <c r="AG8" s="19">
        <v>0</v>
      </c>
      <c r="AH8" s="19">
        <f t="shared" si="0"/>
        <v>159814</v>
      </c>
      <c r="AI8" s="19"/>
      <c r="AJ8" s="19"/>
      <c r="AK8" s="52"/>
      <c r="AL8" s="56">
        <f>G8+J8-AB8-AC8-AE8</f>
        <v>159814</v>
      </c>
      <c r="AM8" s="54"/>
      <c r="AN8" s="55"/>
    </row>
    <row r="9" ht="19.5" customHeight="1" spans="1:40">
      <c r="A9" s="14">
        <v>44620</v>
      </c>
      <c r="B9" s="14"/>
      <c r="C9" s="14"/>
      <c r="D9" s="20">
        <v>44593</v>
      </c>
      <c r="E9" s="16">
        <v>160</v>
      </c>
      <c r="F9" s="17">
        <v>937.5</v>
      </c>
      <c r="G9" s="18">
        <f t="shared" ref="G9:G32" si="1">E9*F9</f>
        <v>150000</v>
      </c>
      <c r="H9" s="19">
        <v>74.335008</v>
      </c>
      <c r="I9" s="17">
        <f t="shared" ref="I9:I11" si="2">F9</f>
        <v>937.5</v>
      </c>
      <c r="J9" s="18">
        <f t="shared" ref="J9:J32" si="3">H9*I9</f>
        <v>69689.07</v>
      </c>
      <c r="K9" s="19">
        <v>0</v>
      </c>
      <c r="L9" s="17">
        <v>0</v>
      </c>
      <c r="M9" s="18">
        <f t="shared" ref="M9:M32" si="4">K9*L9</f>
        <v>0</v>
      </c>
      <c r="N9" s="19"/>
      <c r="O9" s="17"/>
      <c r="P9" s="18">
        <f t="shared" ref="P9:P32" si="5">N9*O9</f>
        <v>0</v>
      </c>
      <c r="Q9" s="19"/>
      <c r="R9" s="17"/>
      <c r="S9" s="18">
        <f t="shared" ref="S9:S32" si="6">Q9*R9</f>
        <v>0</v>
      </c>
      <c r="T9" s="19">
        <v>0</v>
      </c>
      <c r="U9" s="19">
        <v>0</v>
      </c>
      <c r="V9" s="19">
        <v>0</v>
      </c>
      <c r="W9" s="19">
        <v>0</v>
      </c>
      <c r="X9" s="19"/>
      <c r="Y9" s="19"/>
      <c r="Z9" s="19"/>
      <c r="AA9" s="19"/>
      <c r="AB9" s="19">
        <v>57975.07</v>
      </c>
      <c r="AC9" s="19">
        <v>1700</v>
      </c>
      <c r="AD9" s="19">
        <v>0</v>
      </c>
      <c r="AE9" s="19">
        <v>200</v>
      </c>
      <c r="AF9" s="19">
        <v>0</v>
      </c>
      <c r="AG9" s="19">
        <v>67000</v>
      </c>
      <c r="AH9" s="19">
        <f t="shared" si="0"/>
        <v>226814</v>
      </c>
      <c r="AI9" s="19"/>
      <c r="AJ9" s="19"/>
      <c r="AK9" s="52"/>
      <c r="AL9" s="56">
        <f t="shared" ref="AL9:AL10" si="7">G9+J9-AB9-AC9-AE9</f>
        <v>159814</v>
      </c>
      <c r="AN9" s="57"/>
    </row>
    <row r="10" ht="19.5" customHeight="1" spans="1:40">
      <c r="A10" s="14">
        <v>44651</v>
      </c>
      <c r="B10" s="14"/>
      <c r="C10" s="14"/>
      <c r="D10" s="20">
        <v>44621</v>
      </c>
      <c r="E10" s="16">
        <v>160</v>
      </c>
      <c r="F10" s="17">
        <v>937.5</v>
      </c>
      <c r="G10" s="18">
        <f t="shared" si="1"/>
        <v>150000</v>
      </c>
      <c r="H10" s="19">
        <v>74.335008</v>
      </c>
      <c r="I10" s="17">
        <f t="shared" si="2"/>
        <v>937.5</v>
      </c>
      <c r="J10" s="18">
        <f t="shared" si="3"/>
        <v>69689.07</v>
      </c>
      <c r="K10" s="19">
        <v>0</v>
      </c>
      <c r="L10" s="17">
        <v>0</v>
      </c>
      <c r="M10" s="18">
        <f t="shared" si="4"/>
        <v>0</v>
      </c>
      <c r="N10" s="19"/>
      <c r="O10" s="17"/>
      <c r="P10" s="18">
        <f t="shared" si="5"/>
        <v>0</v>
      </c>
      <c r="Q10" s="19"/>
      <c r="R10" s="17"/>
      <c r="S10" s="18">
        <f t="shared" si="6"/>
        <v>0</v>
      </c>
      <c r="T10" s="19">
        <v>0</v>
      </c>
      <c r="U10" s="19">
        <v>0</v>
      </c>
      <c r="V10" s="19">
        <v>0</v>
      </c>
      <c r="W10" s="19">
        <v>0</v>
      </c>
      <c r="X10" s="19"/>
      <c r="Y10" s="19"/>
      <c r="Z10" s="19"/>
      <c r="AA10" s="19"/>
      <c r="AB10" s="19">
        <v>57975.07</v>
      </c>
      <c r="AC10" s="19">
        <v>1700</v>
      </c>
      <c r="AD10" s="19">
        <v>0</v>
      </c>
      <c r="AE10" s="19">
        <v>200</v>
      </c>
      <c r="AF10" s="19">
        <v>0</v>
      </c>
      <c r="AG10" s="19">
        <v>67000</v>
      </c>
      <c r="AH10" s="19">
        <f t="shared" si="0"/>
        <v>226814</v>
      </c>
      <c r="AI10" s="19"/>
      <c r="AJ10" s="19"/>
      <c r="AK10" s="52"/>
      <c r="AL10" s="56">
        <f t="shared" si="7"/>
        <v>159814</v>
      </c>
      <c r="AM10" s="58" t="s">
        <v>80</v>
      </c>
      <c r="AN10" s="57"/>
    </row>
    <row r="11" ht="19.5" customHeight="1" spans="1:40">
      <c r="A11" s="14">
        <f ca="1">TODAY()</f>
        <v>44930</v>
      </c>
      <c r="B11" s="14"/>
      <c r="C11" s="14"/>
      <c r="D11" s="20">
        <v>44652</v>
      </c>
      <c r="E11" s="21">
        <v>160</v>
      </c>
      <c r="F11" s="17">
        <v>937.5</v>
      </c>
      <c r="G11" s="18">
        <f t="shared" si="1"/>
        <v>150000</v>
      </c>
      <c r="H11" s="19">
        <v>74.335008</v>
      </c>
      <c r="I11" s="17">
        <f t="shared" si="2"/>
        <v>937.5</v>
      </c>
      <c r="J11" s="18">
        <f t="shared" si="3"/>
        <v>69689.07</v>
      </c>
      <c r="K11" s="19">
        <v>0</v>
      </c>
      <c r="L11" s="17">
        <v>0</v>
      </c>
      <c r="M11" s="18">
        <f t="shared" si="4"/>
        <v>0</v>
      </c>
      <c r="N11" s="19"/>
      <c r="O11" s="17"/>
      <c r="P11" s="18">
        <f t="shared" si="5"/>
        <v>0</v>
      </c>
      <c r="Q11" s="19"/>
      <c r="R11" s="17"/>
      <c r="S11" s="18">
        <f t="shared" si="6"/>
        <v>0</v>
      </c>
      <c r="T11" s="19">
        <v>0</v>
      </c>
      <c r="U11" s="19">
        <v>0</v>
      </c>
      <c r="V11" s="19">
        <v>0</v>
      </c>
      <c r="W11" s="19">
        <v>0</v>
      </c>
      <c r="X11" s="19"/>
      <c r="Y11" s="19"/>
      <c r="Z11" s="19"/>
      <c r="AA11" s="19"/>
      <c r="AB11" s="19">
        <v>57975.07</v>
      </c>
      <c r="AC11" s="19">
        <v>1700</v>
      </c>
      <c r="AD11" s="19">
        <v>0</v>
      </c>
      <c r="AE11" s="19">
        <v>200</v>
      </c>
      <c r="AF11" s="19">
        <v>0</v>
      </c>
      <c r="AG11" s="19">
        <v>0</v>
      </c>
      <c r="AH11" s="19">
        <f t="shared" si="0"/>
        <v>159814</v>
      </c>
      <c r="AI11" s="19"/>
      <c r="AJ11" s="19"/>
      <c r="AK11" s="52"/>
      <c r="AL11" s="53"/>
      <c r="AM11" s="59" t="str">
        <f>HYPERLINK("https://www.vertex42.com/ExcelTemplates/timesheets.html","► Timesheet Templates")</f>
        <v>► Timesheet Templates</v>
      </c>
      <c r="AN11" s="57"/>
    </row>
    <row r="12" ht="19.5" customHeight="1" spans="1:39">
      <c r="A12" s="14"/>
      <c r="B12" s="14"/>
      <c r="C12" s="14"/>
      <c r="D12" s="22"/>
      <c r="E12" s="21"/>
      <c r="F12" s="17"/>
      <c r="G12" s="18">
        <f t="shared" si="1"/>
        <v>0</v>
      </c>
      <c r="H12" s="19"/>
      <c r="I12" s="17"/>
      <c r="J12" s="18">
        <f t="shared" si="3"/>
        <v>0</v>
      </c>
      <c r="K12" s="19"/>
      <c r="L12" s="17"/>
      <c r="M12" s="18">
        <f t="shared" si="4"/>
        <v>0</v>
      </c>
      <c r="N12" s="19"/>
      <c r="O12" s="17"/>
      <c r="P12" s="18">
        <f t="shared" si="5"/>
        <v>0</v>
      </c>
      <c r="Q12" s="19"/>
      <c r="R12" s="17"/>
      <c r="S12" s="18">
        <f t="shared" si="6"/>
        <v>0</v>
      </c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52"/>
      <c r="AL12" s="53"/>
      <c r="AM12" s="59" t="str">
        <f>HYPERLINK("https://www.vertex42.com/ExcelTemplates/business-templates.html","► Business Templates")</f>
        <v>► Business Templates</v>
      </c>
    </row>
    <row r="13" ht="19.5" customHeight="1" spans="1:39">
      <c r="A13" s="14"/>
      <c r="B13" s="14"/>
      <c r="C13" s="14"/>
      <c r="D13" s="22"/>
      <c r="E13" s="21"/>
      <c r="F13" s="17"/>
      <c r="G13" s="18">
        <f t="shared" si="1"/>
        <v>0</v>
      </c>
      <c r="H13" s="19"/>
      <c r="I13" s="17"/>
      <c r="J13" s="18">
        <f t="shared" si="3"/>
        <v>0</v>
      </c>
      <c r="K13" s="19"/>
      <c r="L13" s="17"/>
      <c r="M13" s="18">
        <f t="shared" si="4"/>
        <v>0</v>
      </c>
      <c r="N13" s="19"/>
      <c r="O13" s="17"/>
      <c r="P13" s="18">
        <f t="shared" si="5"/>
        <v>0</v>
      </c>
      <c r="Q13" s="19"/>
      <c r="R13" s="17"/>
      <c r="S13" s="18">
        <f t="shared" si="6"/>
        <v>0</v>
      </c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52"/>
      <c r="AL13" s="53"/>
      <c r="AM13" s="59" t="str">
        <f>HYPERLINK("https://www.vertex42.com/ExcelTemplates/invoice-templates.html","► Invoice Templates")</f>
        <v>► Invoice Templates</v>
      </c>
    </row>
    <row r="14" ht="19.5" customHeight="1" spans="1:38">
      <c r="A14" s="14"/>
      <c r="B14" s="14"/>
      <c r="C14" s="14"/>
      <c r="D14" s="22"/>
      <c r="E14" s="21"/>
      <c r="F14" s="17"/>
      <c r="G14" s="18">
        <f t="shared" si="1"/>
        <v>0</v>
      </c>
      <c r="H14" s="19"/>
      <c r="I14" s="17"/>
      <c r="J14" s="18">
        <f t="shared" si="3"/>
        <v>0</v>
      </c>
      <c r="K14" s="19"/>
      <c r="L14" s="17"/>
      <c r="M14" s="18">
        <f t="shared" si="4"/>
        <v>0</v>
      </c>
      <c r="N14" s="19"/>
      <c r="O14" s="17"/>
      <c r="P14" s="18">
        <f t="shared" si="5"/>
        <v>0</v>
      </c>
      <c r="Q14" s="19"/>
      <c r="R14" s="17"/>
      <c r="S14" s="18">
        <f t="shared" si="6"/>
        <v>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52"/>
      <c r="AL14" s="53"/>
    </row>
    <row r="15" ht="19.5" customHeight="1" spans="1:38">
      <c r="A15" s="14"/>
      <c r="B15" s="14"/>
      <c r="C15" s="14"/>
      <c r="D15" s="22"/>
      <c r="E15" s="21"/>
      <c r="F15" s="17"/>
      <c r="G15" s="18">
        <f t="shared" si="1"/>
        <v>0</v>
      </c>
      <c r="H15" s="19"/>
      <c r="I15" s="17"/>
      <c r="J15" s="18">
        <f t="shared" si="3"/>
        <v>0</v>
      </c>
      <c r="K15" s="19"/>
      <c r="L15" s="17"/>
      <c r="M15" s="18">
        <f t="shared" si="4"/>
        <v>0</v>
      </c>
      <c r="N15" s="19"/>
      <c r="O15" s="17"/>
      <c r="P15" s="18">
        <f t="shared" si="5"/>
        <v>0</v>
      </c>
      <c r="Q15" s="19"/>
      <c r="R15" s="17"/>
      <c r="S15" s="18">
        <f t="shared" si="6"/>
        <v>0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52"/>
      <c r="AL15" s="53"/>
    </row>
    <row r="16" ht="19.5" customHeight="1" spans="1:38">
      <c r="A16" s="14"/>
      <c r="B16" s="14"/>
      <c r="C16" s="14"/>
      <c r="D16" s="22"/>
      <c r="E16" s="21"/>
      <c r="F16" s="17"/>
      <c r="G16" s="18">
        <f t="shared" si="1"/>
        <v>0</v>
      </c>
      <c r="H16" s="19"/>
      <c r="I16" s="17"/>
      <c r="J16" s="18">
        <f t="shared" si="3"/>
        <v>0</v>
      </c>
      <c r="K16" s="19"/>
      <c r="L16" s="17"/>
      <c r="M16" s="18">
        <f t="shared" si="4"/>
        <v>0</v>
      </c>
      <c r="N16" s="19"/>
      <c r="O16" s="17"/>
      <c r="P16" s="18">
        <f t="shared" si="5"/>
        <v>0</v>
      </c>
      <c r="Q16" s="19"/>
      <c r="R16" s="17"/>
      <c r="S16" s="18">
        <f t="shared" si="6"/>
        <v>0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52"/>
      <c r="AL16" s="53"/>
    </row>
    <row r="17" ht="19.5" customHeight="1" spans="1:38">
      <c r="A17" s="14"/>
      <c r="B17" s="14"/>
      <c r="C17" s="14"/>
      <c r="D17" s="22"/>
      <c r="E17" s="21"/>
      <c r="F17" s="17"/>
      <c r="G17" s="18">
        <f t="shared" si="1"/>
        <v>0</v>
      </c>
      <c r="H17" s="19"/>
      <c r="I17" s="17"/>
      <c r="J17" s="18">
        <f t="shared" si="3"/>
        <v>0</v>
      </c>
      <c r="K17" s="19"/>
      <c r="L17" s="17"/>
      <c r="M17" s="18">
        <f t="shared" si="4"/>
        <v>0</v>
      </c>
      <c r="N17" s="19"/>
      <c r="O17" s="17"/>
      <c r="P17" s="18">
        <f t="shared" si="5"/>
        <v>0</v>
      </c>
      <c r="Q17" s="19"/>
      <c r="R17" s="17"/>
      <c r="S17" s="18">
        <f t="shared" si="6"/>
        <v>0</v>
      </c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52"/>
      <c r="AL17" s="53"/>
    </row>
    <row r="18" ht="19.5" customHeight="1" spans="1:38">
      <c r="A18" s="14"/>
      <c r="B18" s="14"/>
      <c r="C18" s="14"/>
      <c r="D18" s="22"/>
      <c r="E18" s="21"/>
      <c r="F18" s="17"/>
      <c r="G18" s="18">
        <f t="shared" si="1"/>
        <v>0</v>
      </c>
      <c r="H18" s="19"/>
      <c r="I18" s="17"/>
      <c r="J18" s="18">
        <f t="shared" si="3"/>
        <v>0</v>
      </c>
      <c r="K18" s="19"/>
      <c r="L18" s="17"/>
      <c r="M18" s="18">
        <f t="shared" si="4"/>
        <v>0</v>
      </c>
      <c r="N18" s="19"/>
      <c r="O18" s="17"/>
      <c r="P18" s="18">
        <f t="shared" si="5"/>
        <v>0</v>
      </c>
      <c r="Q18" s="19"/>
      <c r="R18" s="17"/>
      <c r="S18" s="18">
        <f t="shared" si="6"/>
        <v>0</v>
      </c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52"/>
      <c r="AL18" s="53"/>
    </row>
    <row r="19" ht="19.5" customHeight="1" spans="1:38">
      <c r="A19" s="14"/>
      <c r="B19" s="14"/>
      <c r="C19" s="14"/>
      <c r="D19" s="22"/>
      <c r="E19" s="21"/>
      <c r="F19" s="17"/>
      <c r="G19" s="18">
        <f t="shared" si="1"/>
        <v>0</v>
      </c>
      <c r="H19" s="19"/>
      <c r="I19" s="17"/>
      <c r="J19" s="18">
        <f t="shared" si="3"/>
        <v>0</v>
      </c>
      <c r="K19" s="19"/>
      <c r="L19" s="17"/>
      <c r="M19" s="18">
        <f t="shared" si="4"/>
        <v>0</v>
      </c>
      <c r="N19" s="19"/>
      <c r="O19" s="17"/>
      <c r="P19" s="18">
        <f t="shared" si="5"/>
        <v>0</v>
      </c>
      <c r="Q19" s="19"/>
      <c r="R19" s="17"/>
      <c r="S19" s="18">
        <f t="shared" si="6"/>
        <v>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52"/>
      <c r="AL19" s="53"/>
    </row>
    <row r="20" ht="19.5" customHeight="1" spans="1:40">
      <c r="A20" s="14"/>
      <c r="B20" s="14"/>
      <c r="C20" s="14"/>
      <c r="D20" s="22"/>
      <c r="E20" s="21"/>
      <c r="F20" s="17"/>
      <c r="G20" s="18">
        <f t="shared" si="1"/>
        <v>0</v>
      </c>
      <c r="H20" s="19"/>
      <c r="I20" s="17"/>
      <c r="J20" s="18">
        <f t="shared" si="3"/>
        <v>0</v>
      </c>
      <c r="K20" s="19"/>
      <c r="L20" s="17"/>
      <c r="M20" s="18">
        <f t="shared" si="4"/>
        <v>0</v>
      </c>
      <c r="N20" s="19"/>
      <c r="O20" s="17"/>
      <c r="P20" s="18">
        <f t="shared" si="5"/>
        <v>0</v>
      </c>
      <c r="Q20" s="19"/>
      <c r="R20" s="17"/>
      <c r="S20" s="18">
        <f t="shared" si="6"/>
        <v>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52"/>
      <c r="AL20" s="53"/>
      <c r="AM20" s="60"/>
      <c r="AN20" s="53"/>
    </row>
    <row r="21" ht="19.5" customHeight="1" spans="1:40">
      <c r="A21" s="14"/>
      <c r="B21" s="14"/>
      <c r="C21" s="14"/>
      <c r="D21" s="22"/>
      <c r="E21" s="21"/>
      <c r="F21" s="17"/>
      <c r="G21" s="18">
        <f t="shared" si="1"/>
        <v>0</v>
      </c>
      <c r="H21" s="19"/>
      <c r="I21" s="17"/>
      <c r="J21" s="18">
        <f t="shared" si="3"/>
        <v>0</v>
      </c>
      <c r="K21" s="19"/>
      <c r="L21" s="17"/>
      <c r="M21" s="18">
        <f t="shared" si="4"/>
        <v>0</v>
      </c>
      <c r="N21" s="19"/>
      <c r="O21" s="17"/>
      <c r="P21" s="18">
        <f t="shared" si="5"/>
        <v>0</v>
      </c>
      <c r="Q21" s="19"/>
      <c r="R21" s="17"/>
      <c r="S21" s="18">
        <f t="shared" si="6"/>
        <v>0</v>
      </c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52"/>
      <c r="AL21" s="53"/>
      <c r="AM21" s="60"/>
      <c r="AN21" s="53"/>
    </row>
    <row r="22" ht="19.5" customHeight="1" spans="1:40">
      <c r="A22" s="14"/>
      <c r="B22" s="14"/>
      <c r="C22" s="14"/>
      <c r="D22" s="22"/>
      <c r="E22" s="21"/>
      <c r="F22" s="17"/>
      <c r="G22" s="18">
        <f t="shared" si="1"/>
        <v>0</v>
      </c>
      <c r="H22" s="19"/>
      <c r="I22" s="17"/>
      <c r="J22" s="18">
        <f t="shared" si="3"/>
        <v>0</v>
      </c>
      <c r="K22" s="19"/>
      <c r="L22" s="17"/>
      <c r="M22" s="18">
        <f t="shared" si="4"/>
        <v>0</v>
      </c>
      <c r="N22" s="19"/>
      <c r="O22" s="17"/>
      <c r="P22" s="18">
        <f t="shared" si="5"/>
        <v>0</v>
      </c>
      <c r="Q22" s="19"/>
      <c r="R22" s="17"/>
      <c r="S22" s="18">
        <f t="shared" si="6"/>
        <v>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52"/>
      <c r="AL22" s="53"/>
      <c r="AM22" s="60"/>
      <c r="AN22" s="53"/>
    </row>
    <row r="23" ht="19.5" customHeight="1" spans="1:40">
      <c r="A23" s="14"/>
      <c r="B23" s="14"/>
      <c r="C23" s="14"/>
      <c r="D23" s="22"/>
      <c r="E23" s="21"/>
      <c r="F23" s="17"/>
      <c r="G23" s="18">
        <f t="shared" si="1"/>
        <v>0</v>
      </c>
      <c r="H23" s="19"/>
      <c r="I23" s="17"/>
      <c r="J23" s="18">
        <f t="shared" si="3"/>
        <v>0</v>
      </c>
      <c r="K23" s="19"/>
      <c r="L23" s="17"/>
      <c r="M23" s="18">
        <f t="shared" si="4"/>
        <v>0</v>
      </c>
      <c r="N23" s="19"/>
      <c r="O23" s="17"/>
      <c r="P23" s="18">
        <f t="shared" si="5"/>
        <v>0</v>
      </c>
      <c r="Q23" s="19"/>
      <c r="R23" s="17"/>
      <c r="S23" s="18">
        <f t="shared" si="6"/>
        <v>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52"/>
      <c r="AL23" s="53"/>
      <c r="AM23" s="60"/>
      <c r="AN23" s="53"/>
    </row>
    <row r="24" ht="19.5" customHeight="1" spans="1:40">
      <c r="A24" s="14"/>
      <c r="B24" s="14"/>
      <c r="C24" s="14"/>
      <c r="D24" s="22"/>
      <c r="E24" s="21"/>
      <c r="F24" s="17"/>
      <c r="G24" s="18">
        <f t="shared" si="1"/>
        <v>0</v>
      </c>
      <c r="H24" s="19"/>
      <c r="I24" s="17"/>
      <c r="J24" s="18">
        <f t="shared" si="3"/>
        <v>0</v>
      </c>
      <c r="K24" s="19"/>
      <c r="L24" s="17"/>
      <c r="M24" s="18">
        <f t="shared" si="4"/>
        <v>0</v>
      </c>
      <c r="N24" s="19"/>
      <c r="O24" s="17"/>
      <c r="P24" s="18">
        <f t="shared" si="5"/>
        <v>0</v>
      </c>
      <c r="Q24" s="19"/>
      <c r="R24" s="17"/>
      <c r="S24" s="18">
        <f t="shared" si="6"/>
        <v>0</v>
      </c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52"/>
      <c r="AL24" s="53"/>
      <c r="AM24" s="60"/>
      <c r="AN24" s="53"/>
    </row>
    <row r="25" ht="19.5" customHeight="1" spans="1:40">
      <c r="A25" s="14"/>
      <c r="B25" s="14"/>
      <c r="C25" s="14"/>
      <c r="D25" s="22"/>
      <c r="E25" s="21"/>
      <c r="F25" s="17"/>
      <c r="G25" s="18">
        <f t="shared" si="1"/>
        <v>0</v>
      </c>
      <c r="H25" s="19"/>
      <c r="I25" s="17"/>
      <c r="J25" s="18">
        <f t="shared" si="3"/>
        <v>0</v>
      </c>
      <c r="K25" s="19"/>
      <c r="L25" s="17"/>
      <c r="M25" s="18">
        <f t="shared" si="4"/>
        <v>0</v>
      </c>
      <c r="N25" s="19"/>
      <c r="O25" s="17"/>
      <c r="P25" s="18">
        <f t="shared" si="5"/>
        <v>0</v>
      </c>
      <c r="Q25" s="19"/>
      <c r="R25" s="17"/>
      <c r="S25" s="18">
        <f t="shared" si="6"/>
        <v>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52"/>
      <c r="AL25" s="53"/>
      <c r="AM25" s="60"/>
      <c r="AN25" s="53"/>
    </row>
    <row r="26" ht="19.5" customHeight="1" spans="1:40">
      <c r="A26" s="14"/>
      <c r="B26" s="14"/>
      <c r="C26" s="14"/>
      <c r="D26" s="22"/>
      <c r="E26" s="21"/>
      <c r="F26" s="17"/>
      <c r="G26" s="18">
        <f t="shared" si="1"/>
        <v>0</v>
      </c>
      <c r="H26" s="19"/>
      <c r="I26" s="17"/>
      <c r="J26" s="18">
        <f t="shared" si="3"/>
        <v>0</v>
      </c>
      <c r="K26" s="19"/>
      <c r="L26" s="17"/>
      <c r="M26" s="18">
        <f t="shared" si="4"/>
        <v>0</v>
      </c>
      <c r="N26" s="19"/>
      <c r="O26" s="17"/>
      <c r="P26" s="18">
        <f t="shared" si="5"/>
        <v>0</v>
      </c>
      <c r="Q26" s="19"/>
      <c r="R26" s="17"/>
      <c r="S26" s="18">
        <f t="shared" si="6"/>
        <v>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52"/>
      <c r="AL26" s="53"/>
      <c r="AM26" s="60"/>
      <c r="AN26" s="53"/>
    </row>
    <row r="27" ht="19.5" customHeight="1" spans="1:40">
      <c r="A27" s="14"/>
      <c r="B27" s="14"/>
      <c r="C27" s="14"/>
      <c r="D27" s="22"/>
      <c r="E27" s="21"/>
      <c r="F27" s="17"/>
      <c r="G27" s="18">
        <f t="shared" si="1"/>
        <v>0</v>
      </c>
      <c r="H27" s="19"/>
      <c r="I27" s="17"/>
      <c r="J27" s="18">
        <f t="shared" si="3"/>
        <v>0</v>
      </c>
      <c r="K27" s="19"/>
      <c r="L27" s="17"/>
      <c r="M27" s="18">
        <f t="shared" si="4"/>
        <v>0</v>
      </c>
      <c r="N27" s="19"/>
      <c r="O27" s="17"/>
      <c r="P27" s="18">
        <f t="shared" si="5"/>
        <v>0</v>
      </c>
      <c r="Q27" s="19"/>
      <c r="R27" s="17"/>
      <c r="S27" s="18">
        <f t="shared" si="6"/>
        <v>0</v>
      </c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52"/>
      <c r="AL27" s="53"/>
      <c r="AM27" s="60"/>
      <c r="AN27" s="53"/>
    </row>
    <row r="28" ht="19.5" customHeight="1" spans="1:40">
      <c r="A28" s="14"/>
      <c r="B28" s="14"/>
      <c r="C28" s="14"/>
      <c r="D28" s="22"/>
      <c r="E28" s="21"/>
      <c r="F28" s="17"/>
      <c r="G28" s="18">
        <f t="shared" si="1"/>
        <v>0</v>
      </c>
      <c r="H28" s="19"/>
      <c r="I28" s="17"/>
      <c r="J28" s="18">
        <f t="shared" si="3"/>
        <v>0</v>
      </c>
      <c r="K28" s="19"/>
      <c r="L28" s="17"/>
      <c r="M28" s="18">
        <f t="shared" si="4"/>
        <v>0</v>
      </c>
      <c r="N28" s="19"/>
      <c r="O28" s="17"/>
      <c r="P28" s="18">
        <f t="shared" si="5"/>
        <v>0</v>
      </c>
      <c r="Q28" s="19"/>
      <c r="R28" s="17"/>
      <c r="S28" s="18">
        <f t="shared" si="6"/>
        <v>0</v>
      </c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52"/>
      <c r="AL28" s="53"/>
      <c r="AM28" s="60"/>
      <c r="AN28" s="53"/>
    </row>
    <row r="29" ht="19.5" customHeight="1" spans="1:40">
      <c r="A29" s="14"/>
      <c r="B29" s="14"/>
      <c r="C29" s="14"/>
      <c r="D29" s="22"/>
      <c r="E29" s="21"/>
      <c r="F29" s="17"/>
      <c r="G29" s="18">
        <f t="shared" si="1"/>
        <v>0</v>
      </c>
      <c r="H29" s="19"/>
      <c r="I29" s="17"/>
      <c r="J29" s="18">
        <f t="shared" si="3"/>
        <v>0</v>
      </c>
      <c r="K29" s="19"/>
      <c r="L29" s="17"/>
      <c r="M29" s="18">
        <f t="shared" si="4"/>
        <v>0</v>
      </c>
      <c r="N29" s="19"/>
      <c r="O29" s="17"/>
      <c r="P29" s="18">
        <f t="shared" si="5"/>
        <v>0</v>
      </c>
      <c r="Q29" s="19"/>
      <c r="R29" s="17"/>
      <c r="S29" s="18">
        <f t="shared" si="6"/>
        <v>0</v>
      </c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52"/>
      <c r="AL29" s="53"/>
      <c r="AM29" s="60"/>
      <c r="AN29" s="53"/>
    </row>
    <row r="30" ht="19.5" customHeight="1" spans="1:40">
      <c r="A30" s="14"/>
      <c r="B30" s="14"/>
      <c r="C30" s="14"/>
      <c r="D30" s="22"/>
      <c r="E30" s="21"/>
      <c r="F30" s="17"/>
      <c r="G30" s="18">
        <f t="shared" si="1"/>
        <v>0</v>
      </c>
      <c r="H30" s="19"/>
      <c r="I30" s="17"/>
      <c r="J30" s="18">
        <f t="shared" si="3"/>
        <v>0</v>
      </c>
      <c r="K30" s="19"/>
      <c r="L30" s="17"/>
      <c r="M30" s="18">
        <f t="shared" si="4"/>
        <v>0</v>
      </c>
      <c r="N30" s="19"/>
      <c r="O30" s="17"/>
      <c r="P30" s="18">
        <f t="shared" si="5"/>
        <v>0</v>
      </c>
      <c r="Q30" s="19"/>
      <c r="R30" s="17"/>
      <c r="S30" s="18">
        <f t="shared" si="6"/>
        <v>0</v>
      </c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52"/>
      <c r="AL30" s="53"/>
      <c r="AM30" s="60"/>
      <c r="AN30" s="53"/>
    </row>
    <row r="31" ht="19.5" customHeight="1" spans="1:40">
      <c r="A31" s="14"/>
      <c r="B31" s="14"/>
      <c r="C31" s="14"/>
      <c r="D31" s="22"/>
      <c r="E31" s="21"/>
      <c r="F31" s="17"/>
      <c r="G31" s="18">
        <f t="shared" si="1"/>
        <v>0</v>
      </c>
      <c r="H31" s="19"/>
      <c r="I31" s="17"/>
      <c r="J31" s="18">
        <f t="shared" si="3"/>
        <v>0</v>
      </c>
      <c r="K31" s="19"/>
      <c r="L31" s="17"/>
      <c r="M31" s="18">
        <f t="shared" si="4"/>
        <v>0</v>
      </c>
      <c r="N31" s="19"/>
      <c r="O31" s="17"/>
      <c r="P31" s="18">
        <f t="shared" si="5"/>
        <v>0</v>
      </c>
      <c r="Q31" s="19"/>
      <c r="R31" s="17"/>
      <c r="S31" s="18">
        <f t="shared" si="6"/>
        <v>0</v>
      </c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52"/>
      <c r="AL31" s="53"/>
      <c r="AM31" s="60"/>
      <c r="AN31" s="53"/>
    </row>
    <row r="32" ht="19.5" customHeight="1" spans="1:40">
      <c r="A32" s="23"/>
      <c r="B32" s="23"/>
      <c r="C32" s="23"/>
      <c r="D32" s="24"/>
      <c r="E32" s="25"/>
      <c r="F32" s="26"/>
      <c r="G32" s="18">
        <f t="shared" si="1"/>
        <v>0</v>
      </c>
      <c r="H32" s="27"/>
      <c r="I32" s="26"/>
      <c r="J32" s="18">
        <f t="shared" si="3"/>
        <v>0</v>
      </c>
      <c r="K32" s="27"/>
      <c r="L32" s="26"/>
      <c r="M32" s="18">
        <f t="shared" si="4"/>
        <v>0</v>
      </c>
      <c r="N32" s="27"/>
      <c r="O32" s="26"/>
      <c r="P32" s="18">
        <f t="shared" si="5"/>
        <v>0</v>
      </c>
      <c r="Q32" s="27"/>
      <c r="R32" s="26"/>
      <c r="S32" s="18">
        <f t="shared" si="6"/>
        <v>0</v>
      </c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61"/>
      <c r="AL32" s="53"/>
      <c r="AM32" s="54" t="s">
        <v>81</v>
      </c>
      <c r="AN32" s="51"/>
    </row>
    <row r="33" ht="19.5" customHeight="1" spans="1:40">
      <c r="A33" s="28" t="s">
        <v>82</v>
      </c>
      <c r="B33" s="28"/>
      <c r="C33" s="28"/>
      <c r="D33" s="29"/>
      <c r="E33" s="30">
        <f>SUM(E5:E32)</f>
        <v>960</v>
      </c>
      <c r="F33" s="31"/>
      <c r="G33" s="31">
        <f>SUM(G5:G32)</f>
        <v>900000</v>
      </c>
      <c r="H33" s="31">
        <f t="shared" ref="H33:AK33" si="8">SUM(H5:H32)</f>
        <v>456.481664</v>
      </c>
      <c r="I33" s="31">
        <f t="shared" si="8"/>
        <v>5625</v>
      </c>
      <c r="J33" s="31">
        <f t="shared" si="8"/>
        <v>427951.56</v>
      </c>
      <c r="K33" s="31">
        <f t="shared" si="8"/>
        <v>0</v>
      </c>
      <c r="L33" s="31">
        <f t="shared" si="8"/>
        <v>0</v>
      </c>
      <c r="M33" s="31">
        <f t="shared" si="8"/>
        <v>0</v>
      </c>
      <c r="N33" s="31">
        <f t="shared" si="8"/>
        <v>0</v>
      </c>
      <c r="O33" s="31">
        <f t="shared" si="8"/>
        <v>0</v>
      </c>
      <c r="P33" s="31">
        <f t="shared" si="8"/>
        <v>0</v>
      </c>
      <c r="Q33" s="31">
        <f t="shared" si="8"/>
        <v>0</v>
      </c>
      <c r="R33" s="31">
        <f t="shared" si="8"/>
        <v>0</v>
      </c>
      <c r="S33" s="31">
        <f t="shared" si="8"/>
        <v>0</v>
      </c>
      <c r="T33" s="36">
        <f t="shared" si="8"/>
        <v>0</v>
      </c>
      <c r="U33" s="31">
        <f t="shared" si="8"/>
        <v>0</v>
      </c>
      <c r="V33" s="31">
        <f t="shared" si="8"/>
        <v>0</v>
      </c>
      <c r="W33" s="31">
        <f t="shared" si="8"/>
        <v>0</v>
      </c>
      <c r="X33" s="31">
        <f t="shared" si="8"/>
        <v>0</v>
      </c>
      <c r="Y33" s="31">
        <f t="shared" si="8"/>
        <v>0</v>
      </c>
      <c r="Z33" s="31">
        <f t="shared" si="8"/>
        <v>0</v>
      </c>
      <c r="AA33" s="31">
        <f t="shared" si="8"/>
        <v>0</v>
      </c>
      <c r="AB33" s="38">
        <f t="shared" si="8"/>
        <v>353795.56</v>
      </c>
      <c r="AC33" s="39">
        <f t="shared" si="8"/>
        <v>10200</v>
      </c>
      <c r="AD33" s="39">
        <f t="shared" si="8"/>
        <v>0</v>
      </c>
      <c r="AE33" s="39">
        <f t="shared" si="8"/>
        <v>1200</v>
      </c>
      <c r="AF33" s="39">
        <f t="shared" si="8"/>
        <v>0</v>
      </c>
      <c r="AG33" s="39">
        <f t="shared" si="8"/>
        <v>187420</v>
      </c>
      <c r="AH33" s="39">
        <f t="shared" si="8"/>
        <v>1150176</v>
      </c>
      <c r="AI33" s="39">
        <f t="shared" si="8"/>
        <v>0</v>
      </c>
      <c r="AJ33" s="39">
        <f t="shared" si="8"/>
        <v>0</v>
      </c>
      <c r="AK33" s="39">
        <f t="shared" si="8"/>
        <v>0</v>
      </c>
      <c r="AL33" s="62"/>
      <c r="AM33" s="63"/>
      <c r="AN33" s="62"/>
    </row>
  </sheetData>
  <conditionalFormatting sqref="V33">
    <cfRule type="containsText" dxfId="0" priority="1" operator="between" text="Vertex42">
      <formula>NOT(ISERROR(SEARCH("Vertex42",V33)))</formula>
    </cfRule>
  </conditionalFormatting>
  <pageMargins left="0.7" right="0.7" top="0.75" bottom="0.75" header="0.3" footer="0.3"/>
  <pageSetup paperSize="1" scale="37" orientation="portrait" horizontalDpi="300" verticalDpi="300"/>
  <headerFooter/>
  <colBreaks count="1" manualBreakCount="1">
    <brk id="3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March 2022</vt:lpstr>
      <vt:lpstr>Feb 2022</vt:lpstr>
      <vt:lpstr>Jan 2022</vt:lpstr>
      <vt:lpstr>Dec 2021</vt:lpstr>
      <vt:lpstr>Nov 2021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KRAAL</cp:lastModifiedBy>
  <dcterms:created xsi:type="dcterms:W3CDTF">2022-02-10T07:56:00Z</dcterms:created>
  <cp:lastPrinted>2022-03-29T07:47:00Z</cp:lastPrinted>
  <dcterms:modified xsi:type="dcterms:W3CDTF">2023-01-04T16:02:26Z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B2EDDEDB57574545846899B469C01951</vt:lpwstr>
  </property>
  <property fmtid="{D5CDD505-2E9C-101B-9397-08002B2CF9AE}" pid="3" name="KSOProductBuildVer">
    <vt:lpwstr>1033-11.2.0.11440</vt:lpwstr>
  </property>
</Properties>
</file>